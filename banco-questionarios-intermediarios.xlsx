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-bancodedados\formularios-contas-alphas\"/>
    </mc:Choice>
  </mc:AlternateContent>
  <xr:revisionPtr revIDLastSave="0" documentId="13_ncr:1_{8A554B67-3F81-455E-B213-195D2DA06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MEDIÁRIOS" sheetId="1" r:id="rId1"/>
    <sheet name="TABELA 2.3" sheetId="2" r:id="rId2"/>
    <sheet name="TABELA 4" sheetId="4" r:id="rId3"/>
    <sheet name="Mulata - Castanha e Fármacos" sheetId="3" r:id="rId4"/>
    <sheet name="Castnha" sheetId="5" r:id="rId5"/>
    <sheet name="Cumaru" sheetId="6" r:id="rId6"/>
    <sheet name="Castanh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7PlRMJDz6VhsaJhoiImeLSYyjlNaMjcXMVmBSRI5PIM="/>
    </ext>
  </extLst>
</workbook>
</file>

<file path=xl/calcChain.xml><?xml version="1.0" encoding="utf-8"?>
<calcChain xmlns="http://schemas.openxmlformats.org/spreadsheetml/2006/main">
  <c r="H66" i="4" l="1"/>
  <c r="G66" i="4"/>
  <c r="H65" i="4"/>
  <c r="G65" i="4"/>
  <c r="K166" i="2"/>
  <c r="J166" i="2"/>
  <c r="K165" i="2"/>
  <c r="J165" i="2"/>
  <c r="H166" i="2"/>
  <c r="H165" i="2"/>
  <c r="J161" i="2"/>
  <c r="N156" i="2" l="1"/>
  <c r="K161" i="2"/>
  <c r="J155" i="2"/>
  <c r="H57" i="4"/>
  <c r="G57" i="4"/>
  <c r="E57" i="4"/>
  <c r="E56" i="4"/>
  <c r="E55" i="4"/>
  <c r="H54" i="4"/>
  <c r="G54" i="4"/>
  <c r="E54" i="4"/>
  <c r="H53" i="4"/>
  <c r="G53" i="4"/>
  <c r="E53" i="4"/>
  <c r="H52" i="4"/>
  <c r="G52" i="4"/>
  <c r="E52" i="4"/>
  <c r="H51" i="4"/>
  <c r="G51" i="4"/>
  <c r="E51" i="4"/>
  <c r="H157" i="2"/>
  <c r="O156" i="2"/>
  <c r="L156" i="2"/>
  <c r="K155" i="2"/>
  <c r="H44" i="4"/>
  <c r="G44" i="4"/>
  <c r="H50" i="4"/>
  <c r="K151" i="2"/>
  <c r="J151" i="2"/>
  <c r="G50" i="4"/>
  <c r="E50" i="4"/>
  <c r="H150" i="2"/>
  <c r="H151" i="2"/>
  <c r="H29" i="4"/>
  <c r="G29" i="4"/>
  <c r="E29" i="4"/>
  <c r="J97" i="2"/>
  <c r="J92" i="2"/>
  <c r="H99" i="2"/>
  <c r="H95" i="2"/>
  <c r="H85" i="2"/>
  <c r="H89" i="2"/>
  <c r="K99" i="2"/>
  <c r="J99" i="2"/>
  <c r="S99" i="2" s="1"/>
  <c r="T99" i="2" s="1"/>
  <c r="K98" i="2"/>
  <c r="J98" i="2"/>
  <c r="S98" i="2" s="1"/>
  <c r="T98" i="2" s="1"/>
  <c r="H98" i="2"/>
  <c r="K97" i="2"/>
  <c r="H97" i="2"/>
  <c r="K96" i="2"/>
  <c r="J96" i="2"/>
  <c r="S96" i="2" s="1"/>
  <c r="T96" i="2" s="1"/>
  <c r="H96" i="2"/>
  <c r="K95" i="2"/>
  <c r="J95" i="2"/>
  <c r="S95" i="2" s="1"/>
  <c r="T95" i="2" s="1"/>
  <c r="K94" i="2"/>
  <c r="J94" i="2"/>
  <c r="H94" i="2"/>
  <c r="K93" i="2"/>
  <c r="J93" i="2"/>
  <c r="S93" i="2" s="1"/>
  <c r="T93" i="2" s="1"/>
  <c r="H93" i="2"/>
  <c r="K92" i="2"/>
  <c r="S92" i="2" s="1"/>
  <c r="T92" i="2" s="1"/>
  <c r="H92" i="2"/>
  <c r="K91" i="2"/>
  <c r="J91" i="2"/>
  <c r="S91" i="2" s="1"/>
  <c r="T91" i="2" s="1"/>
  <c r="H91" i="2"/>
  <c r="K90" i="2"/>
  <c r="J90" i="2"/>
  <c r="S90" i="2" s="1"/>
  <c r="T90" i="2" s="1"/>
  <c r="H90" i="2"/>
  <c r="K89" i="2"/>
  <c r="J89" i="2"/>
  <c r="K88" i="2"/>
  <c r="J88" i="2"/>
  <c r="S88" i="2" s="1"/>
  <c r="T88" i="2" s="1"/>
  <c r="H88" i="2"/>
  <c r="K87" i="2"/>
  <c r="J87" i="2"/>
  <c r="S87" i="2" s="1"/>
  <c r="T87" i="2" s="1"/>
  <c r="H87" i="2"/>
  <c r="K86" i="2"/>
  <c r="J86" i="2"/>
  <c r="H86" i="2"/>
  <c r="K85" i="2"/>
  <c r="J85" i="2"/>
  <c r="H13" i="4"/>
  <c r="H14" i="4"/>
  <c r="K84" i="2"/>
  <c r="J84" i="2"/>
  <c r="H84" i="2"/>
  <c r="E27" i="4"/>
  <c r="J82" i="2"/>
  <c r="F82" i="2"/>
  <c r="K82" i="2"/>
  <c r="S82" i="2"/>
  <c r="K79" i="2"/>
  <c r="S79" i="2" s="1"/>
  <c r="T79" i="2" s="1"/>
  <c r="K80" i="2"/>
  <c r="K81" i="2"/>
  <c r="S81" i="2" s="1"/>
  <c r="T81" i="2" s="1"/>
  <c r="K78" i="2"/>
  <c r="H75" i="2"/>
  <c r="J81" i="2"/>
  <c r="J80" i="2"/>
  <c r="S80" i="2" s="1"/>
  <c r="T80" i="2" s="1"/>
  <c r="J79" i="2"/>
  <c r="J78" i="2"/>
  <c r="K77" i="2"/>
  <c r="S77" i="2" s="1"/>
  <c r="J77" i="2"/>
  <c r="H77" i="2"/>
  <c r="G25" i="4"/>
  <c r="E25" i="4"/>
  <c r="G24" i="4"/>
  <c r="E24" i="4"/>
  <c r="G23" i="4"/>
  <c r="E19" i="4"/>
  <c r="H25" i="4"/>
  <c r="H24" i="4"/>
  <c r="H23" i="4"/>
  <c r="E22" i="4"/>
  <c r="E21" i="4"/>
  <c r="H20" i="4"/>
  <c r="E20" i="4"/>
  <c r="H19" i="4"/>
  <c r="K76" i="2"/>
  <c r="K75" i="2"/>
  <c r="H76" i="2"/>
  <c r="F76" i="2"/>
  <c r="L70" i="2"/>
  <c r="F74" i="2"/>
  <c r="H73" i="2"/>
  <c r="F73" i="2"/>
  <c r="H71" i="2"/>
  <c r="F71" i="2"/>
  <c r="H70" i="2"/>
  <c r="F70" i="2"/>
  <c r="H69" i="2"/>
  <c r="F69" i="2"/>
  <c r="J69" i="2"/>
  <c r="K70" i="2"/>
  <c r="J70" i="2"/>
  <c r="J72" i="2"/>
  <c r="J73" i="2"/>
  <c r="J76" i="2"/>
  <c r="J75" i="2"/>
  <c r="K74" i="2"/>
  <c r="J74" i="2"/>
  <c r="S74" i="2" s="1"/>
  <c r="K73" i="2"/>
  <c r="K72" i="2"/>
  <c r="S72" i="2" s="1"/>
  <c r="K71" i="2"/>
  <c r="J71" i="2"/>
  <c r="S70" i="2"/>
  <c r="K69" i="2"/>
  <c r="H34" i="4"/>
  <c r="G34" i="4"/>
  <c r="E34" i="4"/>
  <c r="H128" i="2"/>
  <c r="J128" i="2"/>
  <c r="K128" i="2"/>
  <c r="J150" i="2"/>
  <c r="K150" i="2"/>
  <c r="N6" i="4"/>
  <c r="H3" i="4"/>
  <c r="H2" i="4"/>
  <c r="H47" i="4"/>
  <c r="H46" i="4"/>
  <c r="G47" i="4"/>
  <c r="E48" i="4"/>
  <c r="E47" i="4"/>
  <c r="G46" i="4"/>
  <c r="E46" i="4"/>
  <c r="K148" i="2"/>
  <c r="J148" i="2"/>
  <c r="H148" i="2"/>
  <c r="E44" i="4"/>
  <c r="K145" i="2"/>
  <c r="J145" i="2"/>
  <c r="H145" i="2"/>
  <c r="H40" i="4"/>
  <c r="G40" i="4"/>
  <c r="E40" i="4"/>
  <c r="H39" i="4"/>
  <c r="G39" i="4"/>
  <c r="E39" i="4"/>
  <c r="H38" i="4"/>
  <c r="G38" i="4"/>
  <c r="E38" i="4"/>
  <c r="K142" i="2"/>
  <c r="J142" i="2"/>
  <c r="H142" i="2"/>
  <c r="H31" i="4"/>
  <c r="G31" i="4"/>
  <c r="H30" i="4"/>
  <c r="G30" i="4"/>
  <c r="K108" i="2"/>
  <c r="J108" i="2"/>
  <c r="H105" i="2"/>
  <c r="H104" i="2"/>
  <c r="J104" i="2"/>
  <c r="K103" i="2"/>
  <c r="K104" i="2"/>
  <c r="K105" i="2"/>
  <c r="J103" i="2"/>
  <c r="J105" i="2"/>
  <c r="H103" i="2"/>
  <c r="K102" i="2"/>
  <c r="J102" i="2"/>
  <c r="H102" i="2"/>
  <c r="K101" i="2"/>
  <c r="J101" i="2"/>
  <c r="H101" i="2"/>
  <c r="K100" i="2"/>
  <c r="J100" i="2"/>
  <c r="H100" i="2"/>
  <c r="H35" i="4"/>
  <c r="K139" i="2"/>
  <c r="G35" i="4"/>
  <c r="E35" i="4"/>
  <c r="J139" i="2"/>
  <c r="H139" i="2"/>
  <c r="S76" i="2"/>
  <c r="F72" i="2"/>
  <c r="O70" i="2"/>
  <c r="N70" i="2"/>
  <c r="V70" i="2" s="1"/>
  <c r="I13" i="4"/>
  <c r="I14" i="4"/>
  <c r="G13" i="4"/>
  <c r="G14" i="4"/>
  <c r="E15" i="4"/>
  <c r="E14" i="4"/>
  <c r="E16" i="4"/>
  <c r="E17" i="4"/>
  <c r="E13" i="4"/>
  <c r="F26" i="2"/>
  <c r="J22" i="2"/>
  <c r="K24" i="2"/>
  <c r="K28" i="2"/>
  <c r="H26" i="2"/>
  <c r="H25" i="2"/>
  <c r="H24" i="2"/>
  <c r="H18" i="2"/>
  <c r="H20" i="2"/>
  <c r="H30" i="2"/>
  <c r="H29" i="2"/>
  <c r="J28" i="2"/>
  <c r="S28" i="2" s="1"/>
  <c r="T28" i="2" s="1"/>
  <c r="K27" i="2"/>
  <c r="J27" i="2"/>
  <c r="K26" i="2"/>
  <c r="J26" i="2"/>
  <c r="K25" i="2"/>
  <c r="J25" i="2"/>
  <c r="J24" i="2"/>
  <c r="S24" i="2" s="1"/>
  <c r="T24" i="2" s="1"/>
  <c r="K23" i="2"/>
  <c r="J23" i="2"/>
  <c r="H23" i="2"/>
  <c r="K22" i="2"/>
  <c r="K21" i="2"/>
  <c r="J21" i="2"/>
  <c r="H21" i="2"/>
  <c r="K20" i="2"/>
  <c r="J20" i="2"/>
  <c r="S20" i="2" s="1"/>
  <c r="K19" i="2"/>
  <c r="J19" i="2"/>
  <c r="H19" i="2"/>
  <c r="K18" i="2"/>
  <c r="J18" i="2"/>
  <c r="K17" i="2"/>
  <c r="J17" i="2"/>
  <c r="H17" i="2"/>
  <c r="K16" i="2"/>
  <c r="J16" i="2"/>
  <c r="H16" i="2"/>
  <c r="H14" i="2"/>
  <c r="J7" i="2"/>
  <c r="I7" i="4"/>
  <c r="G7" i="4"/>
  <c r="H7" i="4"/>
  <c r="E7" i="4"/>
  <c r="H6" i="2"/>
  <c r="E11" i="4"/>
  <c r="G11" i="4"/>
  <c r="H11" i="4"/>
  <c r="K12" i="4"/>
  <c r="E12" i="4"/>
  <c r="K14" i="2"/>
  <c r="J14" i="2"/>
  <c r="F14" i="2"/>
  <c r="K10" i="2"/>
  <c r="J10" i="2"/>
  <c r="S10" i="2" s="1"/>
  <c r="H10" i="2"/>
  <c r="F10" i="2"/>
  <c r="K9" i="2"/>
  <c r="J9" i="2"/>
  <c r="H9" i="2"/>
  <c r="F9" i="2"/>
  <c r="F7" i="2"/>
  <c r="K8" i="2"/>
  <c r="J8" i="2"/>
  <c r="H8" i="2"/>
  <c r="J6" i="2"/>
  <c r="K7" i="2"/>
  <c r="K6" i="2"/>
  <c r="H7" i="2"/>
  <c r="H2" i="2"/>
  <c r="M6" i="4"/>
  <c r="H5" i="4"/>
  <c r="G5" i="4"/>
  <c r="V5" i="4" s="1"/>
  <c r="E5" i="4"/>
  <c r="N5" i="2"/>
  <c r="V5" i="2" s="1"/>
  <c r="W5" i="2" s="1"/>
  <c r="H4" i="2"/>
  <c r="K4" i="2"/>
  <c r="J4" i="2"/>
  <c r="G3" i="4"/>
  <c r="E3" i="4"/>
  <c r="E2" i="4"/>
  <c r="G2" i="4"/>
  <c r="K2" i="2"/>
  <c r="J2" i="2"/>
  <c r="H26" i="3"/>
  <c r="H25" i="3"/>
  <c r="N9" i="7"/>
  <c r="M9" i="7"/>
  <c r="L9" i="7"/>
  <c r="B5" i="7" s="1"/>
  <c r="B6" i="7"/>
  <c r="D36" i="6"/>
  <c r="C36" i="6"/>
  <c r="B36" i="6"/>
  <c r="G11" i="6" s="1"/>
  <c r="G12" i="6" s="1"/>
  <c r="I11" i="6"/>
  <c r="I12" i="6" s="1"/>
  <c r="H11" i="6"/>
  <c r="I10" i="6"/>
  <c r="H10" i="6"/>
  <c r="G10" i="6"/>
  <c r="B54" i="5"/>
  <c r="C53" i="5"/>
  <c r="B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53" i="5" s="1"/>
  <c r="D6" i="5"/>
  <c r="D5" i="5"/>
  <c r="D4" i="5"/>
  <c r="D3" i="5"/>
  <c r="D2" i="5"/>
  <c r="H24" i="3"/>
  <c r="H23" i="3"/>
  <c r="H22" i="3"/>
  <c r="H21" i="3"/>
  <c r="E21" i="3"/>
  <c r="E20" i="3"/>
  <c r="H20" i="3" s="1"/>
  <c r="H19" i="3"/>
  <c r="E19" i="3"/>
  <c r="H18" i="3"/>
  <c r="E18" i="3"/>
  <c r="H17" i="3"/>
  <c r="E17" i="3"/>
  <c r="E16" i="3"/>
  <c r="H16" i="3" s="1"/>
  <c r="H15" i="3"/>
  <c r="H14" i="3"/>
  <c r="H13" i="3"/>
  <c r="H12" i="3"/>
  <c r="H11" i="3"/>
  <c r="H10" i="3"/>
  <c r="H8" i="3"/>
  <c r="H7" i="3"/>
  <c r="H6" i="3"/>
  <c r="H5" i="3"/>
  <c r="H4" i="3"/>
  <c r="H3" i="3"/>
  <c r="H2" i="3"/>
  <c r="E2" i="3"/>
  <c r="V99" i="2"/>
  <c r="W99" i="2" s="1"/>
  <c r="V98" i="2"/>
  <c r="W98" i="2" s="1"/>
  <c r="V97" i="2"/>
  <c r="W97" i="2" s="1"/>
  <c r="S97" i="2"/>
  <c r="T97" i="2" s="1"/>
  <c r="V96" i="2"/>
  <c r="W96" i="2" s="1"/>
  <c r="V95" i="2"/>
  <c r="W95" i="2" s="1"/>
  <c r="V94" i="2"/>
  <c r="W94" i="2" s="1"/>
  <c r="S94" i="2"/>
  <c r="T94" i="2" s="1"/>
  <c r="V93" i="2"/>
  <c r="W93" i="2" s="1"/>
  <c r="V92" i="2"/>
  <c r="W92" i="2" s="1"/>
  <c r="V91" i="2"/>
  <c r="W91" i="2" s="1"/>
  <c r="V90" i="2"/>
  <c r="W90" i="2" s="1"/>
  <c r="V89" i="2"/>
  <c r="W89" i="2" s="1"/>
  <c r="S89" i="2"/>
  <c r="T89" i="2" s="1"/>
  <c r="V88" i="2"/>
  <c r="W88" i="2" s="1"/>
  <c r="V87" i="2"/>
  <c r="W87" i="2" s="1"/>
  <c r="V86" i="2"/>
  <c r="W86" i="2" s="1"/>
  <c r="S86" i="2"/>
  <c r="T86" i="2" s="1"/>
  <c r="V85" i="2"/>
  <c r="W85" i="2" s="1"/>
  <c r="S85" i="2"/>
  <c r="T85" i="2" s="1"/>
  <c r="V84" i="2"/>
  <c r="W84" i="2" s="1"/>
  <c r="S84" i="2"/>
  <c r="V83" i="2"/>
  <c r="W83" i="2" s="1"/>
  <c r="S83" i="2"/>
  <c r="T83" i="2" s="1"/>
  <c r="V82" i="2"/>
  <c r="W82" i="2" s="1"/>
  <c r="V81" i="2"/>
  <c r="W81" i="2" s="1"/>
  <c r="V80" i="2"/>
  <c r="W80" i="2" s="1"/>
  <c r="V79" i="2"/>
  <c r="W79" i="2" s="1"/>
  <c r="V78" i="2"/>
  <c r="W78" i="2" s="1"/>
  <c r="V77" i="2"/>
  <c r="W77" i="2" s="1"/>
  <c r="V76" i="2"/>
  <c r="W76" i="2" s="1"/>
  <c r="V75" i="2"/>
  <c r="W75" i="2" s="1"/>
  <c r="S75" i="2"/>
  <c r="V74" i="2"/>
  <c r="W74" i="2" s="1"/>
  <c r="V73" i="2"/>
  <c r="W73" i="2" s="1"/>
  <c r="V72" i="2"/>
  <c r="W72" i="2" s="1"/>
  <c r="V71" i="2"/>
  <c r="W71" i="2" s="1"/>
  <c r="V69" i="2"/>
  <c r="W69" i="2" s="1"/>
  <c r="V68" i="2"/>
  <c r="W68" i="2" s="1"/>
  <c r="S68" i="2"/>
  <c r="T68" i="2" s="1"/>
  <c r="V67" i="2"/>
  <c r="W67" i="2" s="1"/>
  <c r="S67" i="2"/>
  <c r="T67" i="2" s="1"/>
  <c r="V66" i="2"/>
  <c r="W66" i="2" s="1"/>
  <c r="S66" i="2"/>
  <c r="T66" i="2" s="1"/>
  <c r="V65" i="2"/>
  <c r="W65" i="2" s="1"/>
  <c r="S65" i="2"/>
  <c r="T65" i="2" s="1"/>
  <c r="V64" i="2"/>
  <c r="W64" i="2" s="1"/>
  <c r="S64" i="2"/>
  <c r="T64" i="2" s="1"/>
  <c r="V63" i="2"/>
  <c r="W63" i="2" s="1"/>
  <c r="S63" i="2"/>
  <c r="T63" i="2" s="1"/>
  <c r="V62" i="2"/>
  <c r="W62" i="2" s="1"/>
  <c r="S62" i="2"/>
  <c r="T62" i="2" s="1"/>
  <c r="V61" i="2"/>
  <c r="W61" i="2" s="1"/>
  <c r="S61" i="2"/>
  <c r="T61" i="2" s="1"/>
  <c r="V60" i="2"/>
  <c r="W60" i="2" s="1"/>
  <c r="S60" i="2"/>
  <c r="T60" i="2" s="1"/>
  <c r="V59" i="2"/>
  <c r="W59" i="2" s="1"/>
  <c r="S59" i="2"/>
  <c r="T59" i="2" s="1"/>
  <c r="V58" i="2"/>
  <c r="W58" i="2" s="1"/>
  <c r="S58" i="2"/>
  <c r="T58" i="2" s="1"/>
  <c r="V57" i="2"/>
  <c r="W57" i="2" s="1"/>
  <c r="S57" i="2"/>
  <c r="T57" i="2" s="1"/>
  <c r="V56" i="2"/>
  <c r="W56" i="2" s="1"/>
  <c r="S56" i="2"/>
  <c r="T56" i="2" s="1"/>
  <c r="V55" i="2"/>
  <c r="W55" i="2" s="1"/>
  <c r="S55" i="2"/>
  <c r="T55" i="2" s="1"/>
  <c r="V54" i="2"/>
  <c r="W54" i="2" s="1"/>
  <c r="S54" i="2"/>
  <c r="T54" i="2" s="1"/>
  <c r="V53" i="2"/>
  <c r="W53" i="2" s="1"/>
  <c r="S53" i="2"/>
  <c r="T53" i="2" s="1"/>
  <c r="V52" i="2"/>
  <c r="W52" i="2" s="1"/>
  <c r="S52" i="2"/>
  <c r="T52" i="2" s="1"/>
  <c r="V51" i="2"/>
  <c r="W51" i="2" s="1"/>
  <c r="S51" i="2"/>
  <c r="T51" i="2" s="1"/>
  <c r="V50" i="2"/>
  <c r="W50" i="2" s="1"/>
  <c r="S50" i="2"/>
  <c r="T50" i="2" s="1"/>
  <c r="V49" i="2"/>
  <c r="W49" i="2" s="1"/>
  <c r="S49" i="2"/>
  <c r="T49" i="2" s="1"/>
  <c r="V48" i="2"/>
  <c r="W48" i="2" s="1"/>
  <c r="S48" i="2"/>
  <c r="T48" i="2" s="1"/>
  <c r="V47" i="2"/>
  <c r="W47" i="2" s="1"/>
  <c r="S47" i="2"/>
  <c r="T47" i="2" s="1"/>
  <c r="V46" i="2"/>
  <c r="W46" i="2" s="1"/>
  <c r="S46" i="2"/>
  <c r="T46" i="2" s="1"/>
  <c r="V45" i="2"/>
  <c r="W45" i="2" s="1"/>
  <c r="S45" i="2"/>
  <c r="T45" i="2" s="1"/>
  <c r="V44" i="2"/>
  <c r="W44" i="2" s="1"/>
  <c r="S44" i="2"/>
  <c r="T44" i="2" s="1"/>
  <c r="V43" i="2"/>
  <c r="W43" i="2" s="1"/>
  <c r="S43" i="2"/>
  <c r="T43" i="2" s="1"/>
  <c r="V42" i="2"/>
  <c r="W42" i="2" s="1"/>
  <c r="S42" i="2"/>
  <c r="T42" i="2" s="1"/>
  <c r="V41" i="2"/>
  <c r="W41" i="2" s="1"/>
  <c r="S41" i="2"/>
  <c r="T41" i="2" s="1"/>
  <c r="V40" i="2"/>
  <c r="W40" i="2" s="1"/>
  <c r="S40" i="2"/>
  <c r="T40" i="2" s="1"/>
  <c r="V39" i="2"/>
  <c r="W39" i="2" s="1"/>
  <c r="S39" i="2"/>
  <c r="T39" i="2" s="1"/>
  <c r="V38" i="2"/>
  <c r="W38" i="2" s="1"/>
  <c r="S38" i="2"/>
  <c r="T38" i="2" s="1"/>
  <c r="V37" i="2"/>
  <c r="W37" i="2" s="1"/>
  <c r="S37" i="2"/>
  <c r="T37" i="2" s="1"/>
  <c r="V36" i="2"/>
  <c r="W36" i="2" s="1"/>
  <c r="S36" i="2"/>
  <c r="T36" i="2" s="1"/>
  <c r="V35" i="2"/>
  <c r="W35" i="2" s="1"/>
  <c r="S35" i="2"/>
  <c r="T35" i="2" s="1"/>
  <c r="V34" i="2"/>
  <c r="W34" i="2" s="1"/>
  <c r="S34" i="2"/>
  <c r="T34" i="2" s="1"/>
  <c r="V33" i="2"/>
  <c r="W33" i="2" s="1"/>
  <c r="S33" i="2"/>
  <c r="T33" i="2" s="1"/>
  <c r="V32" i="2"/>
  <c r="W32" i="2" s="1"/>
  <c r="S32" i="2"/>
  <c r="T32" i="2" s="1"/>
  <c r="V31" i="2"/>
  <c r="W31" i="2" s="1"/>
  <c r="S31" i="2"/>
  <c r="T31" i="2" s="1"/>
  <c r="V30" i="2"/>
  <c r="W30" i="2" s="1"/>
  <c r="S30" i="2"/>
  <c r="V29" i="2"/>
  <c r="W29" i="2" s="1"/>
  <c r="S29" i="2"/>
  <c r="V28" i="2"/>
  <c r="W28" i="2" s="1"/>
  <c r="V27" i="2"/>
  <c r="W27" i="2" s="1"/>
  <c r="V26" i="2"/>
  <c r="W26" i="2" s="1"/>
  <c r="V25" i="2"/>
  <c r="W25" i="2" s="1"/>
  <c r="V24" i="2"/>
  <c r="W24" i="2" s="1"/>
  <c r="V23" i="2"/>
  <c r="W23" i="2" s="1"/>
  <c r="V22" i="2"/>
  <c r="W22" i="2" s="1"/>
  <c r="V21" i="2"/>
  <c r="W21" i="2" s="1"/>
  <c r="V20" i="2"/>
  <c r="W20" i="2" s="1"/>
  <c r="V19" i="2"/>
  <c r="W19" i="2" s="1"/>
  <c r="V18" i="2"/>
  <c r="W18" i="2" s="1"/>
  <c r="V17" i="2"/>
  <c r="W17" i="2" s="1"/>
  <c r="V16" i="2"/>
  <c r="W16" i="2" s="1"/>
  <c r="S16" i="2"/>
  <c r="V15" i="2"/>
  <c r="W15" i="2" s="1"/>
  <c r="S15" i="2"/>
  <c r="T15" i="2" s="1"/>
  <c r="V14" i="2"/>
  <c r="W14" i="2" s="1"/>
  <c r="V13" i="2"/>
  <c r="W13" i="2" s="1"/>
  <c r="V12" i="2"/>
  <c r="W12" i="2" s="1"/>
  <c r="V11" i="2"/>
  <c r="W11" i="2" s="1"/>
  <c r="S11" i="2"/>
  <c r="T11" i="2" s="1"/>
  <c r="V10" i="2"/>
  <c r="W10" i="2" s="1"/>
  <c r="V9" i="2"/>
  <c r="W9" i="2" s="1"/>
  <c r="V8" i="2"/>
  <c r="W8" i="2" s="1"/>
  <c r="V7" i="2"/>
  <c r="W7" i="2" s="1"/>
  <c r="V6" i="2"/>
  <c r="W6" i="2" s="1"/>
  <c r="V4" i="2"/>
  <c r="W4" i="2" s="1"/>
  <c r="V3" i="2"/>
  <c r="W3" i="2" s="1"/>
  <c r="S3" i="2"/>
  <c r="T3" i="2" s="1"/>
  <c r="V2" i="2"/>
  <c r="W2" i="2" s="1"/>
  <c r="M13" i="1"/>
  <c r="P7" i="1"/>
  <c r="M7" i="1"/>
  <c r="P6" i="1"/>
  <c r="M6" i="1"/>
  <c r="S78" i="2" l="1"/>
  <c r="T78" i="2" s="1"/>
  <c r="S2" i="2"/>
  <c r="S14" i="2"/>
  <c r="S23" i="2"/>
  <c r="S21" i="2"/>
  <c r="T21" i="2" s="1"/>
  <c r="T23" i="2"/>
  <c r="T20" i="2"/>
  <c r="S19" i="2"/>
  <c r="T19" i="2" s="1"/>
  <c r="T16" i="2"/>
  <c r="S6" i="2"/>
  <c r="T6" i="2" s="1"/>
  <c r="S71" i="2"/>
  <c r="T71" i="2" s="1"/>
  <c r="S73" i="2"/>
  <c r="T73" i="2" s="1"/>
  <c r="S26" i="2"/>
  <c r="T26" i="2" s="1"/>
  <c r="S4" i="2"/>
  <c r="T4" i="2" s="1"/>
  <c r="S25" i="2"/>
  <c r="T25" i="2" s="1"/>
  <c r="S18" i="2"/>
  <c r="T18" i="2" s="1"/>
  <c r="S27" i="2"/>
  <c r="T27" i="2" s="1"/>
  <c r="S17" i="2"/>
  <c r="T17" i="2" s="1"/>
  <c r="S22" i="2"/>
  <c r="T22" i="2" s="1"/>
  <c r="T29" i="2"/>
  <c r="T30" i="2"/>
  <c r="S8" i="2"/>
  <c r="T8" i="2" s="1"/>
  <c r="S7" i="2"/>
  <c r="T7" i="2" s="1"/>
  <c r="S9" i="2"/>
  <c r="T9" i="2" s="1"/>
  <c r="S69" i="2"/>
  <c r="T69" i="2" s="1"/>
  <c r="W5" i="4"/>
  <c r="T14" i="2"/>
  <c r="T76" i="2"/>
  <c r="T84" i="2"/>
  <c r="T72" i="2"/>
  <c r="T74" i="2"/>
  <c r="T2" i="2"/>
  <c r="T70" i="2"/>
  <c r="W70" i="2"/>
  <c r="T82" i="2"/>
  <c r="T10" i="2"/>
  <c r="T75" i="2"/>
  <c r="T77" i="2"/>
</calcChain>
</file>

<file path=xl/sharedStrings.xml><?xml version="1.0" encoding="utf-8"?>
<sst xmlns="http://schemas.openxmlformats.org/spreadsheetml/2006/main" count="3576" uniqueCount="660">
  <si>
    <t>IDENTIFICAÇÃO DO ENTREVISTADOR (A)</t>
  </si>
  <si>
    <t>OFERTANTES E ARRANJOS INSTITUCIONAIS</t>
  </si>
  <si>
    <r>
      <rPr>
        <b/>
        <sz val="11"/>
        <color theme="1"/>
        <rFont val="Aptos Narrow"/>
        <family val="2"/>
      </rPr>
      <t xml:space="preserve">VENDAS DOS PRODUTOS </t>
    </r>
    <r>
      <rPr>
        <b/>
        <i/>
        <sz val="11"/>
        <color theme="1"/>
        <rFont val="Aptos Narrow"/>
        <family val="2"/>
      </rPr>
      <t>IN-NATURA</t>
    </r>
    <r>
      <rPr>
        <b/>
        <sz val="11"/>
        <color theme="1"/>
        <rFont val="Aptos Narrow"/>
        <family val="2"/>
      </rPr>
      <t xml:space="preserve"> OU BENEFICIADOS</t>
    </r>
  </si>
  <si>
    <t>Nº Questionário</t>
  </si>
  <si>
    <t>Data da entrevista</t>
  </si>
  <si>
    <t>Entrevistador(a)</t>
  </si>
  <si>
    <t>Nome e Apelido</t>
  </si>
  <si>
    <t>Localização</t>
  </si>
  <si>
    <t>Hora de início</t>
  </si>
  <si>
    <t>Quais produtos comercializa?</t>
  </si>
  <si>
    <t>Há quanto tempo negocia esses produtos?</t>
  </si>
  <si>
    <t>Conversão das unidades de medidas utilizadas</t>
  </si>
  <si>
    <t>Produtos in natura ou processados?</t>
  </si>
  <si>
    <t>Compra de cooperativas, associações ou coletivos?</t>
  </si>
  <si>
    <t>Quanto é entregue por produto por vez?</t>
  </si>
  <si>
    <t>Contínuo ou sazonal?</t>
  </si>
  <si>
    <t xml:space="preserve">Quanto é entregue por produto por vez? </t>
  </si>
  <si>
    <t>Unidade de referência</t>
  </si>
  <si>
    <t>Por produto vendido, quem fornece a embalagem?</t>
  </si>
  <si>
    <t>Qual o custo da embalagem por unidade (R$)?</t>
  </si>
  <si>
    <t>Hora do fim</t>
  </si>
  <si>
    <t>Dulce Maria</t>
  </si>
  <si>
    <t>Rogério</t>
  </si>
  <si>
    <t>08h36</t>
  </si>
  <si>
    <t>Castanha; Cumaru</t>
  </si>
  <si>
    <t>1 ano</t>
  </si>
  <si>
    <t>KG</t>
  </si>
  <si>
    <t>IN NATURA</t>
  </si>
  <si>
    <t>NÃO</t>
  </si>
  <si>
    <t>-</t>
  </si>
  <si>
    <t>SAZONAL</t>
  </si>
  <si>
    <t>FORNECEDOR TROCA  A SACA</t>
  </si>
  <si>
    <t>Agnaldo</t>
  </si>
  <si>
    <t>08h30</t>
  </si>
  <si>
    <t>Castanha ; Açai</t>
  </si>
  <si>
    <t>8 anos</t>
  </si>
  <si>
    <t>INDIVIDUAL</t>
  </si>
  <si>
    <t>CONTINUO</t>
  </si>
  <si>
    <t>Luiz e Mirelly</t>
  </si>
  <si>
    <t>Francisco Maurício Nascimento</t>
  </si>
  <si>
    <t>8h33</t>
  </si>
  <si>
    <t>Cumaru; Castanha; Andiroba</t>
  </si>
  <si>
    <t>20 anos</t>
  </si>
  <si>
    <t>IN NATURA; PROCESSADOS</t>
  </si>
  <si>
    <t xml:space="preserve">CONTÍNUO  </t>
  </si>
  <si>
    <t>CARRADA</t>
  </si>
  <si>
    <t>CAIBA</t>
  </si>
  <si>
    <t>Leandro / Leo</t>
  </si>
  <si>
    <t>18h07</t>
  </si>
  <si>
    <t>5 anos</t>
  </si>
  <si>
    <t xml:space="preserve"> KG</t>
  </si>
  <si>
    <t>EMPRESA</t>
  </si>
  <si>
    <t>--</t>
  </si>
  <si>
    <t xml:space="preserve"> Castanha</t>
  </si>
  <si>
    <t>SACA</t>
  </si>
  <si>
    <t>Marcelo</t>
  </si>
  <si>
    <t>Juraci Lima Rodrigues; Jocivaldo Lima</t>
  </si>
  <si>
    <t>9h30</t>
  </si>
  <si>
    <t>Castanha ;Cumaru</t>
  </si>
  <si>
    <t>25 anos</t>
  </si>
  <si>
    <t>TONELADAS</t>
  </si>
  <si>
    <t>Eles compram e a Caiba devolve as sacas</t>
  </si>
  <si>
    <t>3 a saca da Castanha; 2,80 a do Cumaru</t>
  </si>
  <si>
    <t>Luiz; Marcelo; Mirelly</t>
  </si>
  <si>
    <t>Aluísio</t>
  </si>
  <si>
    <t>Alenquer</t>
  </si>
  <si>
    <t>11h</t>
  </si>
  <si>
    <t>Cumaru</t>
  </si>
  <si>
    <t>26 anos</t>
  </si>
  <si>
    <t>Castanha</t>
  </si>
  <si>
    <t>15 anos</t>
  </si>
  <si>
    <t>Cacau</t>
  </si>
  <si>
    <t>Isac</t>
  </si>
  <si>
    <t>18h10</t>
  </si>
  <si>
    <t>SEM CUSTO</t>
  </si>
  <si>
    <t>Nivaldo Bezerra de OLiveira</t>
  </si>
  <si>
    <t>16h20</t>
  </si>
  <si>
    <t>SUELI</t>
  </si>
  <si>
    <t>Luiz</t>
  </si>
  <si>
    <t>Oriximiná</t>
  </si>
  <si>
    <t>40 anos</t>
  </si>
  <si>
    <t>Hectalitro = 100 L = 60 kg = Saca = 1 medida = 5 latas de 20 L</t>
  </si>
  <si>
    <t>Negocia com a associação de Trombetas</t>
  </si>
  <si>
    <t>Daniela de Lima ; João Lima</t>
  </si>
  <si>
    <t>Castanha; Cumaru; Farinha de Mandioca, Bacaba, açai , Taperebá, Jatobá</t>
  </si>
  <si>
    <t>11 anos</t>
  </si>
  <si>
    <t>SACA = 60 KG</t>
  </si>
  <si>
    <t>Mundial, João e Dani</t>
  </si>
  <si>
    <t>sem custo</t>
  </si>
  <si>
    <t>Diogo Tavares Garcia</t>
  </si>
  <si>
    <t>Preciosa</t>
  </si>
  <si>
    <t>Cumarú</t>
  </si>
  <si>
    <t>4 anos</t>
  </si>
  <si>
    <t>NÂO</t>
  </si>
  <si>
    <t>6,00 a unidade</t>
  </si>
  <si>
    <t>Dulce</t>
  </si>
  <si>
    <t>Antônio Garcia Lima</t>
  </si>
  <si>
    <t>13 anos</t>
  </si>
  <si>
    <t>Carla empresta as sacas e fornece p/ os coletores</t>
  </si>
  <si>
    <t>Nº do questionário</t>
  </si>
  <si>
    <t>Produto</t>
  </si>
  <si>
    <t>Quais comunidades você compra os produtos?</t>
  </si>
  <si>
    <t>Todas estão na Mulata?</t>
  </si>
  <si>
    <t>O fornecedor produz ou revende?</t>
  </si>
  <si>
    <t xml:space="preserve">Qtd. proveniente da Mulata </t>
  </si>
  <si>
    <t xml:space="preserve">Unidade de referência </t>
  </si>
  <si>
    <t>Qtd comprada/ mês inverno (Jan-Jun)</t>
  </si>
  <si>
    <t>Preço médio de compra (Jan-Jun, R$) MÍNIMO</t>
  </si>
  <si>
    <t>Preço médio de compra (Jan-Jun, R$) MÁXIMO</t>
  </si>
  <si>
    <t>Qtd comprada/mês verão (Jul-Dez)</t>
  </si>
  <si>
    <t>Preço médio de compra (Jul-Dez, R$) MÍNIMO</t>
  </si>
  <si>
    <t>Preço médio de compra (Jul-Dez, R$) MÁXIMO</t>
  </si>
  <si>
    <t>Onde é realizada a entrega do produto?</t>
  </si>
  <si>
    <t>Indique nomes dos seus principais fornecedores</t>
  </si>
  <si>
    <t>preço</t>
  </si>
  <si>
    <t>Valor</t>
  </si>
  <si>
    <t>Serra Azul ; Cupim</t>
  </si>
  <si>
    <t>PRODUZ</t>
  </si>
  <si>
    <t xml:space="preserve"> CASINHA DE RECEBIMENTO DA CASTANHA</t>
  </si>
  <si>
    <t>Bode ; Benevam; Marliene</t>
  </si>
  <si>
    <t xml:space="preserve"> NA PRÓPRIA  RESIDÊNCIA OU BUSCA</t>
  </si>
  <si>
    <t>Renato</t>
  </si>
  <si>
    <t>REVENDE</t>
  </si>
  <si>
    <t>Castanheiros</t>
  </si>
  <si>
    <t>Açai</t>
  </si>
  <si>
    <t>PDS Serra Azul</t>
  </si>
  <si>
    <t>NA CASA DO ATRAVESSADOR</t>
  </si>
  <si>
    <t>R. Feliciano</t>
  </si>
  <si>
    <t>ENTREGA NA RESIDÊNCIA</t>
  </si>
  <si>
    <t>Benevan</t>
  </si>
  <si>
    <t>R. Djalma</t>
  </si>
  <si>
    <t>SIM</t>
  </si>
  <si>
    <t>Barbicha</t>
  </si>
  <si>
    <t>R. Bluetimer</t>
  </si>
  <si>
    <t>Gadelha</t>
  </si>
  <si>
    <t>Pico do Jacaré</t>
  </si>
  <si>
    <t>Magno</t>
  </si>
  <si>
    <t>Ramal do Catitu</t>
  </si>
  <si>
    <t>Pessoal dos Feios</t>
  </si>
  <si>
    <t>Mulata - R. Djalma</t>
  </si>
  <si>
    <t>Denis</t>
  </si>
  <si>
    <t>Andiroba</t>
  </si>
  <si>
    <t>Mulata</t>
  </si>
  <si>
    <t>L</t>
  </si>
  <si>
    <t>Copaíba</t>
  </si>
  <si>
    <t>Pacoval; Barragem; Agua Azul; Morro Bate Roupa</t>
  </si>
  <si>
    <t>Ramal Bom Jesus; Isaque; Róseo; Oracilho; Raimundo, Zé Neném</t>
  </si>
  <si>
    <t>Zé neném; Roséo; Oracilho; Raimundo</t>
  </si>
  <si>
    <t>Jauari/Camburão</t>
  </si>
  <si>
    <t>CAMINHÃO</t>
  </si>
  <si>
    <t xml:space="preserve">MIGUEL </t>
  </si>
  <si>
    <t>Novo Progresso/Alenquer</t>
  </si>
  <si>
    <t>ONIBUS</t>
  </si>
  <si>
    <t>EDINALDO</t>
  </si>
  <si>
    <t>Pacoval</t>
  </si>
  <si>
    <t>TIAGO</t>
  </si>
  <si>
    <t>Palhal</t>
  </si>
  <si>
    <t>ELVES</t>
  </si>
  <si>
    <t>Joarí</t>
  </si>
  <si>
    <t>ISAQUE</t>
  </si>
  <si>
    <t>Mamiá</t>
  </si>
  <si>
    <t>Produz e Revende</t>
  </si>
  <si>
    <t>NO DEPOSITO</t>
  </si>
  <si>
    <t>Jota</t>
  </si>
  <si>
    <t>Fé em Deus</t>
  </si>
  <si>
    <t>Doquinha</t>
  </si>
  <si>
    <t>Bela Vista (Mulata)</t>
  </si>
  <si>
    <t>ÔNIBUS OU CAMINHÃO</t>
  </si>
  <si>
    <t>Aldemarzinho</t>
  </si>
  <si>
    <t>São domingos (Obidos)</t>
  </si>
  <si>
    <t>Produz</t>
  </si>
  <si>
    <t>Raimundinho</t>
  </si>
  <si>
    <t>Cúrua - Vila Liberdade</t>
  </si>
  <si>
    <t>Pelado</t>
  </si>
  <si>
    <t>Patiazal - Mamiá</t>
  </si>
  <si>
    <t>ÔNIBUS</t>
  </si>
  <si>
    <t>Dinamar</t>
  </si>
  <si>
    <t>Ingá - Pacoval</t>
  </si>
  <si>
    <t>Antônio</t>
  </si>
  <si>
    <t>Bacabal</t>
  </si>
  <si>
    <t>Gabriel</t>
  </si>
  <si>
    <t>BUSCAM NA COMUNIDADE/FRETE CAMINHÃO</t>
  </si>
  <si>
    <t>Antoônio Guedes</t>
  </si>
  <si>
    <t>Mamiá (50% mulata)</t>
  </si>
  <si>
    <t>Fé em Deus/Alenquer</t>
  </si>
  <si>
    <t>São Domingos (50% mulata)</t>
  </si>
  <si>
    <t>Cuminã (60% mulata)</t>
  </si>
  <si>
    <t>Valdir cabeça Branca</t>
  </si>
  <si>
    <t>São Domingos (60% mulata)</t>
  </si>
  <si>
    <t>Mazinho</t>
  </si>
  <si>
    <t>Areia Branca</t>
  </si>
  <si>
    <t>CAMINHÃO E ONIBUS</t>
  </si>
  <si>
    <t>Raimundo</t>
  </si>
  <si>
    <t>Patrajal - Mulata</t>
  </si>
  <si>
    <t>Canaã - Alenquer - Mulata</t>
  </si>
  <si>
    <t>Zeca</t>
  </si>
  <si>
    <t>Cruzeirão - Óbidos</t>
  </si>
  <si>
    <t>Bi</t>
  </si>
  <si>
    <t>Vila Liberdade/ Vila Curuará</t>
  </si>
  <si>
    <t>Ingá/Pacoval</t>
  </si>
  <si>
    <t>Que tem</t>
  </si>
  <si>
    <t>Farol - Alenquer - Mulata</t>
  </si>
  <si>
    <t>Valdemar</t>
  </si>
  <si>
    <t>Vila Campo de Pilar</t>
  </si>
  <si>
    <t>Raimundo / Xixica</t>
  </si>
  <si>
    <t>Camburão - Alenquer</t>
  </si>
  <si>
    <t>Larissa</t>
  </si>
  <si>
    <t>Vanessa</t>
  </si>
  <si>
    <t>Bela Vista - Alenquer</t>
  </si>
  <si>
    <t>Zé Vilmar</t>
  </si>
  <si>
    <t>Arumanzal - Alenquer</t>
  </si>
  <si>
    <t>Currentela - Alenquer</t>
  </si>
  <si>
    <t>Clóvis</t>
  </si>
  <si>
    <t>Tiago</t>
  </si>
  <si>
    <t>Bom Princípio - Alenquer</t>
  </si>
  <si>
    <t>Manoel/Dalberto</t>
  </si>
  <si>
    <t>Mamiá( São Domingos)</t>
  </si>
  <si>
    <t>Dinha</t>
  </si>
  <si>
    <t>Ramal do Limão</t>
  </si>
  <si>
    <t>LOCAL/ CAMINHÃO</t>
  </si>
  <si>
    <t>Riva</t>
  </si>
  <si>
    <t>Teca</t>
  </si>
  <si>
    <t>Nova União ( Alenquer)</t>
  </si>
  <si>
    <t>LOCAL</t>
  </si>
  <si>
    <t>Francisco</t>
  </si>
  <si>
    <t>C.Cuitel</t>
  </si>
  <si>
    <t>Nel</t>
  </si>
  <si>
    <t>C. Porção (Prox. ao Camburão</t>
  </si>
  <si>
    <t>Santana</t>
  </si>
  <si>
    <t>C. Andirobal</t>
  </si>
  <si>
    <t>Luciana</t>
  </si>
  <si>
    <t>Deco</t>
  </si>
  <si>
    <t>Cumaru Verde</t>
  </si>
  <si>
    <t>Nazira</t>
  </si>
  <si>
    <t>Manoel</t>
  </si>
  <si>
    <t>C. Pixuna (Óbidos)</t>
  </si>
  <si>
    <t>Peroba</t>
  </si>
  <si>
    <t>C. Apolinário (Curuá)</t>
  </si>
  <si>
    <t>C. Boa Àgua (Alenquer)</t>
  </si>
  <si>
    <t>Aristide</t>
  </si>
  <si>
    <t>C. Sacrifício</t>
  </si>
  <si>
    <t>Nildo</t>
  </si>
  <si>
    <t>C. Massaranduba (Prox. ao camburão)</t>
  </si>
  <si>
    <t>Deni</t>
  </si>
  <si>
    <t>C. São Paulo - Alenquer</t>
  </si>
  <si>
    <t>Cléber II</t>
  </si>
  <si>
    <t>Cidade de Curuá</t>
  </si>
  <si>
    <t>Delma</t>
  </si>
  <si>
    <t>Cumarú Seco</t>
  </si>
  <si>
    <t>Serra Azul</t>
  </si>
  <si>
    <t>Diva</t>
  </si>
  <si>
    <t>Àgua Azul( R. Bacabal)</t>
  </si>
  <si>
    <t>Lauro Filho</t>
  </si>
  <si>
    <t>ÁGUA AZUL</t>
  </si>
  <si>
    <t>Bebê</t>
  </si>
  <si>
    <t>Jadson</t>
  </si>
  <si>
    <t>PDS Paraíso</t>
  </si>
  <si>
    <t>Francisco Rodrigues (Chico Painho)</t>
  </si>
  <si>
    <t>Nova União</t>
  </si>
  <si>
    <t>Adriana</t>
  </si>
  <si>
    <t>Mamiá(Óbidos, Cruzeirão) Cuminã (Alenquer) ; São Domingos (Cruzeirão)</t>
  </si>
  <si>
    <t>Ramal da barragem</t>
  </si>
  <si>
    <t>CASTANHAL NA BEIRA DO RIO</t>
  </si>
  <si>
    <t>Neném, Valdiclei</t>
  </si>
  <si>
    <t>Paulo, Nena; Anderson</t>
  </si>
  <si>
    <t>Ramal do 7</t>
  </si>
  <si>
    <t>Ramal do catitu</t>
  </si>
  <si>
    <t>Ramal do jacaré</t>
  </si>
  <si>
    <t>Barragem Mulata</t>
  </si>
  <si>
    <t>PORTO DO CASTANHAL</t>
  </si>
  <si>
    <t>Natal , Oscar, Anderson</t>
  </si>
  <si>
    <t>Não é fixo</t>
  </si>
  <si>
    <t>Barragem (áreas prox)</t>
  </si>
  <si>
    <t>Oscar, Natal, Anderson, Naldinho , Anjo, Neném, Jurinha</t>
  </si>
  <si>
    <t>Erepecuru</t>
  </si>
  <si>
    <t>NA BALSA</t>
  </si>
  <si>
    <t>Elson</t>
  </si>
  <si>
    <t>Abeú (Trombetas)</t>
  </si>
  <si>
    <t>BALSA NO TROMBETAS</t>
  </si>
  <si>
    <t>Amadeu</t>
  </si>
  <si>
    <t>Trombetas (Erepecu)</t>
  </si>
  <si>
    <t>BARCO</t>
  </si>
  <si>
    <t>Augusto</t>
  </si>
  <si>
    <t>Croval (Bcc)</t>
  </si>
  <si>
    <t>PRODUZ E REVENDE</t>
  </si>
  <si>
    <t>CAMINHÃO (20 por Hct)</t>
  </si>
  <si>
    <t>Giba</t>
  </si>
  <si>
    <t>Aldo</t>
  </si>
  <si>
    <t>Baluta</t>
  </si>
  <si>
    <t>Croval</t>
  </si>
  <si>
    <t>Carlinho Branco</t>
  </si>
  <si>
    <t>Jair</t>
  </si>
  <si>
    <t>Sapucua</t>
  </si>
  <si>
    <t>FRETE BALSA - 10,00</t>
  </si>
  <si>
    <t>Juca</t>
  </si>
  <si>
    <t>Lábrea (AM)</t>
  </si>
  <si>
    <t>BARCO E ESTIVO - 21 por Hct</t>
  </si>
  <si>
    <t>Elizangela</t>
  </si>
  <si>
    <t>Manaus (Porto)</t>
  </si>
  <si>
    <t>Autais (AM)</t>
  </si>
  <si>
    <t>Charles</t>
  </si>
  <si>
    <t>Tapaua (AM)</t>
  </si>
  <si>
    <t>Mezaque</t>
  </si>
  <si>
    <t>Arapuá (Purus - AM)</t>
  </si>
  <si>
    <t>Bira Melo</t>
  </si>
  <si>
    <t>Boca do Acre</t>
  </si>
  <si>
    <t>França (Capitalista)</t>
  </si>
  <si>
    <t>Na Propria residencia</t>
  </si>
  <si>
    <t>Ramal dos varas - obidos</t>
  </si>
  <si>
    <t>Nilson</t>
  </si>
  <si>
    <t>Outros</t>
  </si>
  <si>
    <t>Outros da Turma</t>
  </si>
  <si>
    <t>Joao e Dani</t>
  </si>
  <si>
    <t>Cumaru verde</t>
  </si>
  <si>
    <t>sim</t>
  </si>
  <si>
    <t>Não</t>
  </si>
  <si>
    <t>Casa Diogo</t>
  </si>
  <si>
    <t>Everaldo</t>
  </si>
  <si>
    <t>Hugo</t>
  </si>
  <si>
    <t>Flávio</t>
  </si>
  <si>
    <t>Craval</t>
  </si>
  <si>
    <t>Carlito</t>
  </si>
  <si>
    <t>KM 10 BEC</t>
  </si>
  <si>
    <t>Zé equipe</t>
  </si>
  <si>
    <t>Anderson</t>
  </si>
  <si>
    <t>Janderson</t>
  </si>
  <si>
    <t>Waldo</t>
  </si>
  <si>
    <t>Lindomar</t>
  </si>
  <si>
    <t>Jaramacarú</t>
  </si>
  <si>
    <t>Ney</t>
  </si>
  <si>
    <t>Leia</t>
  </si>
  <si>
    <t>Thiago</t>
  </si>
  <si>
    <t>Goulart</t>
  </si>
  <si>
    <t>Catia</t>
  </si>
  <si>
    <t>Ronaldo</t>
  </si>
  <si>
    <t>Produção própria</t>
  </si>
  <si>
    <t>seu zebinha</t>
  </si>
  <si>
    <t>Murta</t>
  </si>
  <si>
    <t>Própria residência</t>
  </si>
  <si>
    <t>Bidiel</t>
  </si>
  <si>
    <t>Nathan</t>
  </si>
  <si>
    <t>Tobias</t>
  </si>
  <si>
    <t>Zé Castanha</t>
  </si>
  <si>
    <t>Bísai</t>
  </si>
  <si>
    <t>Jeremias</t>
  </si>
  <si>
    <t>Josué</t>
  </si>
  <si>
    <t>Giorani</t>
  </si>
  <si>
    <t>Barridani</t>
  </si>
  <si>
    <t>Oseias</t>
  </si>
  <si>
    <t>Chico Sousa</t>
  </si>
  <si>
    <t>Preço médio</t>
  </si>
  <si>
    <t>Valor Total</t>
  </si>
  <si>
    <t>Nº de intermediários que disseram que provém da Mulata</t>
  </si>
  <si>
    <t>Há quanto tempo negocia com cada comprador?</t>
  </si>
  <si>
    <t>Qtd vendida/ mês inverno (Jan-Jun)</t>
  </si>
  <si>
    <t>Preço médio de compra (Jan-Jun) EM CASO DE COMISSÃO</t>
  </si>
  <si>
    <t>Qtd vendida/ mês verão (Jul-Dez)</t>
  </si>
  <si>
    <t>Preço médio de compra (Jul-Dez) EM CASO DE COMISSÃO</t>
  </si>
  <si>
    <t>Quem paga o frete?</t>
  </si>
  <si>
    <t>Qual o valor do frete por lote (R$)?</t>
  </si>
  <si>
    <t>Qual transporte utilizado?</t>
  </si>
  <si>
    <t>José Neto - Manaus</t>
  </si>
  <si>
    <t>CASA MONTE ALEGRE</t>
  </si>
  <si>
    <t>JOSÉ NETO</t>
  </si>
  <si>
    <t>Caiba</t>
  </si>
  <si>
    <t>EMPRESA ALENQUER</t>
  </si>
  <si>
    <t>Gerson</t>
  </si>
  <si>
    <t>BALSA</t>
  </si>
  <si>
    <t>Compradores de Monte Alegre</t>
  </si>
  <si>
    <t>MONTE ALEGRE</t>
  </si>
  <si>
    <t>%</t>
  </si>
  <si>
    <t>ENTREGUE NO BARCO</t>
  </si>
  <si>
    <t>INTERMEDIÁRIO</t>
  </si>
  <si>
    <t>Denise</t>
  </si>
  <si>
    <t>2 anos</t>
  </si>
  <si>
    <t>CAMINHÃO; ÔNIBUS</t>
  </si>
  <si>
    <t>Caiba; Gracinaldo</t>
  </si>
  <si>
    <t>3 anos</t>
  </si>
  <si>
    <t>COMUNIDADE</t>
  </si>
  <si>
    <t>TRANSPORTE PRÓPRIO</t>
  </si>
  <si>
    <t>Marcos Jaime/Obidos/CAIBA</t>
  </si>
  <si>
    <t>EMPRESA BUSCA NO ARMAZEM OU NA BALSA</t>
  </si>
  <si>
    <t>BALSA/CAMINHÃO</t>
  </si>
  <si>
    <t>Mauro - Novo Progresso/ Nutre Comércio</t>
  </si>
  <si>
    <t>12 anos</t>
  </si>
  <si>
    <t>BALSA / STM/CARRETA</t>
  </si>
  <si>
    <t>Balsa - 4 por saca; Carreta - 7 por saca</t>
  </si>
  <si>
    <t>BALSA/CARRETA</t>
  </si>
  <si>
    <t>Eduardo Matoso - KAAP/São Paulo</t>
  </si>
  <si>
    <t>9 anos</t>
  </si>
  <si>
    <t>Donald Francês/ Mundial Óbidos</t>
  </si>
  <si>
    <t>7 anos</t>
  </si>
  <si>
    <t>MUNDIAL EM ÓBIDOS</t>
  </si>
  <si>
    <t>2500 - 160 sacas</t>
  </si>
  <si>
    <t>Agmar - Manaus</t>
  </si>
  <si>
    <t>BARCO P/ MANAUS</t>
  </si>
  <si>
    <t>20 por saca</t>
  </si>
  <si>
    <t>CAMINHÃO/BALSA</t>
  </si>
  <si>
    <t>Farias - Espirito Santo</t>
  </si>
  <si>
    <t>BALSA P/ STM</t>
  </si>
  <si>
    <t>Matosa São Paulo</t>
  </si>
  <si>
    <t>14 anos</t>
  </si>
  <si>
    <t>PORTO</t>
  </si>
  <si>
    <t>Mundial Exportação</t>
  </si>
  <si>
    <t>Fortaleza</t>
  </si>
  <si>
    <t>18 anos</t>
  </si>
  <si>
    <t>Edildo Belém</t>
  </si>
  <si>
    <t>SANTARÉM</t>
  </si>
  <si>
    <t>DEPÓSITO</t>
  </si>
  <si>
    <t>ÓBIDOS</t>
  </si>
  <si>
    <t>Belo Horizonte</t>
  </si>
  <si>
    <t>Leandro</t>
  </si>
  <si>
    <t>COMPRADOR</t>
  </si>
  <si>
    <t>TRATOR / CAMINHÃO</t>
  </si>
  <si>
    <t>Sueli</t>
  </si>
  <si>
    <t>5 POR SACA</t>
  </si>
  <si>
    <t>CARRO, TRATOR , CAMINHÃO</t>
  </si>
  <si>
    <t>Florenzano</t>
  </si>
  <si>
    <t>33 anos</t>
  </si>
  <si>
    <t>Hct</t>
  </si>
  <si>
    <t>Organiza  a Logistica, mas não é responsavel pelo pgmento</t>
  </si>
  <si>
    <t>USINA</t>
  </si>
  <si>
    <t>Claudio Albuquerque - Óbidos</t>
  </si>
  <si>
    <t>Caiba - Gracinaldo</t>
  </si>
  <si>
    <t>Moto Propria</t>
  </si>
  <si>
    <t>Cumarú seco</t>
  </si>
  <si>
    <t>Ele vai ate óbidos</t>
  </si>
  <si>
    <t>Carla- Oriximiná</t>
  </si>
  <si>
    <t>Entrega para Carla</t>
  </si>
  <si>
    <t>150 por saca</t>
  </si>
  <si>
    <t>Burro/ caminhão</t>
  </si>
  <si>
    <t>Quantidade</t>
  </si>
  <si>
    <t>Quant</t>
  </si>
  <si>
    <t>valor</t>
  </si>
  <si>
    <t>Negociantes Locais</t>
  </si>
  <si>
    <t xml:space="preserve">Negociantes Atacadista </t>
  </si>
  <si>
    <t>Industria processamento</t>
  </si>
  <si>
    <t>Industria produto final</t>
  </si>
  <si>
    <t>PDS Serra Azul --&gt;</t>
  </si>
  <si>
    <t>Preço</t>
  </si>
  <si>
    <t>Indust.proc --&gt;</t>
  </si>
  <si>
    <t>Indus. Final --&gt;</t>
  </si>
  <si>
    <t>Dulce/Nelson/Elen</t>
  </si>
  <si>
    <t>José, Jonas, Siron e Enoque</t>
  </si>
  <si>
    <t>SACA ; KG; L</t>
  </si>
  <si>
    <t>5 L = 1 SACA SACA = 70 KG</t>
  </si>
  <si>
    <t>NÃO TEM</t>
  </si>
  <si>
    <t>Castanha e Cumaru</t>
  </si>
  <si>
    <t>José -15 anos Siron -10 anos</t>
  </si>
  <si>
    <t>Jaramacaru (Óbidos)</t>
  </si>
  <si>
    <t xml:space="preserve">Jaramacaru, Alambique 1, Alambique 2, Rio Verde, Mutar, Cachorro Sentado, 3 vadios, Copaiba, Do nove, Tabocal e Doze </t>
  </si>
  <si>
    <t>São Pedro, São Vicente, Agua Branca, Mamiazinho, Vila seca, Carapana e Monte Muria</t>
  </si>
  <si>
    <t>Eles buscam</t>
  </si>
  <si>
    <t>Jacivan, Chico, Thiago, João, Latifane, Paulo, Cleidson, Sola</t>
  </si>
  <si>
    <t>Compradores Aleatorios</t>
  </si>
  <si>
    <t>Manel - Florenzano</t>
  </si>
  <si>
    <t>É levado até a cidade</t>
  </si>
  <si>
    <t>O comprador</t>
  </si>
  <si>
    <t>100 por saca</t>
  </si>
  <si>
    <t>10 o kg</t>
  </si>
  <si>
    <t>Dulce / Nelson</t>
  </si>
  <si>
    <t>Josias (Josa)</t>
  </si>
  <si>
    <t>Castanha, cumaru, copaiba e andiroba.</t>
  </si>
  <si>
    <t>As empresas Caiba e Florenzano</t>
  </si>
  <si>
    <t>Manel</t>
  </si>
  <si>
    <t>Rosi</t>
  </si>
  <si>
    <t>10 anos</t>
  </si>
  <si>
    <t>Faz a entrega ou eles buscam</t>
  </si>
  <si>
    <t xml:space="preserve">O vendedor paga, quando vem buscar eles descontam. </t>
  </si>
  <si>
    <t>Caminhão</t>
  </si>
  <si>
    <t>Cidade de Oriximiná</t>
  </si>
  <si>
    <t>Manoel Farias Albuquerque</t>
  </si>
  <si>
    <t>6 anos</t>
  </si>
  <si>
    <t>SACA = 70 KG</t>
  </si>
  <si>
    <t>Sim, associação do Itapecuru</t>
  </si>
  <si>
    <t>SACA ; KG</t>
  </si>
  <si>
    <t>A da castanha é o Florenzano; E o do cumaru é comprado.</t>
  </si>
  <si>
    <t>3,50 a und</t>
  </si>
  <si>
    <t>Guilherme (Ligação c/ Aluizio de Alenquer)</t>
  </si>
  <si>
    <t>É buscado no depósito</t>
  </si>
  <si>
    <t>No barco</t>
  </si>
  <si>
    <t>12 por saca</t>
  </si>
  <si>
    <t>Caminhão e Barco</t>
  </si>
  <si>
    <t>O intermadiário</t>
  </si>
  <si>
    <t>Copaiba</t>
  </si>
  <si>
    <t>Tracuá, Murta, Rio verde e Dos doze</t>
  </si>
  <si>
    <t>Jaramacaru, Mamiá e Dos três</t>
  </si>
  <si>
    <t>Dos dez e Babaçu</t>
  </si>
  <si>
    <t>0,85 o kg na mata</t>
  </si>
  <si>
    <t>1,14 o kg fora</t>
  </si>
  <si>
    <t xml:space="preserve">Soares, Rainan, Estone, Francinildo, Tiago, Miguel, Jadson, Barbudo </t>
  </si>
  <si>
    <t>Franci, Neném, Renan, Neguinho, Benildo, Renilson</t>
  </si>
  <si>
    <t>Roselene, Flávio, Diogo, Hugo, aldelene, marinete, natan, catita, Gilson, marabá</t>
  </si>
  <si>
    <t>Luis/Nelson/Dulce/Lucas/Elen</t>
  </si>
  <si>
    <t>Raquel da Silva (Cacau)</t>
  </si>
  <si>
    <t>Rio verde (Obidos), Murta (orixi), Alambique (orixi), 3 vadios (obidos), Tucandeira (orixi), copaíba (orixi), babaçu (orixi), jaramacaru (obidos), campos gerais (obidos)</t>
  </si>
  <si>
    <t>Fora da flota Trombetas</t>
  </si>
  <si>
    <t>Antonio Aguiar , Valdo, João, Francidalva, Carlão, Chico, Arildo, Iracildo, mocinnha, nivaldo, isac, roginho, Adailton, careca e compradores avulsos que são mais de 100.</t>
  </si>
  <si>
    <t>KG - Seco</t>
  </si>
  <si>
    <t>KG - Verde</t>
  </si>
  <si>
    <t>Geralmente é deixado no depósito</t>
  </si>
  <si>
    <t>Não tem</t>
  </si>
  <si>
    <t>Medida; Saca; KG</t>
  </si>
  <si>
    <t xml:space="preserve">O intermediário que compra no cumaru; Na castanha, eles fornecem. </t>
  </si>
  <si>
    <t>2,50 a und</t>
  </si>
  <si>
    <t xml:space="preserve">Mundial </t>
  </si>
  <si>
    <t>Kaapi</t>
  </si>
  <si>
    <t>Na cidade</t>
  </si>
  <si>
    <t>Ela vai buscar</t>
  </si>
  <si>
    <t>Envia p/ Santarém</t>
  </si>
  <si>
    <t>25 a saca</t>
  </si>
  <si>
    <t>Até Obidos é fornecedor; A partir de Stm é eles</t>
  </si>
  <si>
    <t>Busca na mata; E os avulsos levam na casa dela tbm</t>
  </si>
  <si>
    <t>Manel, Franci, Rosalba, Rosana, Antonio, Carlito, Erê, Fanfaro, Lindomar, Raimundo, Manoel (Seu negão)</t>
  </si>
  <si>
    <t>Pui, Raimundo, Rosalba</t>
  </si>
  <si>
    <t>Jaramacaru/Mulata</t>
  </si>
  <si>
    <t>1 Medida = 1 Saca = 70 Kg</t>
  </si>
  <si>
    <t>15 por saca</t>
  </si>
  <si>
    <t xml:space="preserve">Não especificou </t>
  </si>
  <si>
    <t>Código (Tipo/Local/N°)</t>
  </si>
  <si>
    <t>SACA = 60KG</t>
  </si>
  <si>
    <t>SACA = 70KG</t>
  </si>
  <si>
    <t>1 a 2 sacas</t>
  </si>
  <si>
    <t>PDS; Ramal Djalma; Flota Parú</t>
  </si>
  <si>
    <t>NA CIDADES: NAS BALSAS E BARCOS</t>
  </si>
  <si>
    <t>Monte Alegre/PDS Serra Azul</t>
  </si>
  <si>
    <t>Não citado</t>
  </si>
  <si>
    <t>BALSA DO TAPARÁ/STM</t>
  </si>
  <si>
    <t>ATRAVESSADORES</t>
  </si>
  <si>
    <t>Marcelo; Rosinelson</t>
  </si>
  <si>
    <t>SACA = 55 KG</t>
  </si>
  <si>
    <t>1 Hecto= 1 saca</t>
  </si>
  <si>
    <t>Alenquer/Barragem</t>
  </si>
  <si>
    <t>Média dos preços + 7%/60 (Na comissão)</t>
  </si>
  <si>
    <t>Média dos preços + 30/60 (Na comissão)</t>
  </si>
  <si>
    <t>Preço + 30/60 (Na comissão)</t>
  </si>
  <si>
    <t>KG (SECO)</t>
  </si>
  <si>
    <t>KG (VERDE)</t>
  </si>
  <si>
    <t>Jamaracaru (Óbidos)</t>
  </si>
  <si>
    <t>Josinaldo e Fabiane</t>
  </si>
  <si>
    <t>Jéfé e Franço</t>
  </si>
  <si>
    <t>SACA = 60 KG = 5 latas</t>
  </si>
  <si>
    <t>Uma parte</t>
  </si>
  <si>
    <t xml:space="preserve">Na industria </t>
  </si>
  <si>
    <t>113 por saca</t>
  </si>
  <si>
    <t>A caiba vai até eles</t>
  </si>
  <si>
    <t>Sem frete</t>
  </si>
  <si>
    <t>Carro próprio</t>
  </si>
  <si>
    <t>Eles vão de carro até la</t>
  </si>
  <si>
    <t>Ele mesmo</t>
  </si>
  <si>
    <t>Sim</t>
  </si>
  <si>
    <t>Preciosa (Óbidos)</t>
  </si>
  <si>
    <t>Em parte</t>
  </si>
  <si>
    <t>Comunidade Sombra da Lua (Alenquer)</t>
  </si>
  <si>
    <t>Dulce; Laize</t>
  </si>
  <si>
    <t>Francisco Alves Brilhante Filho</t>
  </si>
  <si>
    <t>Almeirim</t>
  </si>
  <si>
    <t>Desde Criança extrativista</t>
  </si>
  <si>
    <t>Castanha Lavada</t>
  </si>
  <si>
    <t>São Paulo; Jari</t>
  </si>
  <si>
    <t xml:space="preserve">3;00 a unidade Em são paulo; e no Jari 3,00 a 5,00 a UND </t>
  </si>
  <si>
    <t>Saca= 60 kg</t>
  </si>
  <si>
    <t>Principalmente da Cidade</t>
  </si>
  <si>
    <t>Pessoas contratadas</t>
  </si>
  <si>
    <t xml:space="preserve">Brasilia, Fabio, Laranjal do Jari; Obidos - Caiba; Belém -Mutram; Monte Dourado - Garcilazio; </t>
  </si>
  <si>
    <t>Não forneceu dados quantitativos da tabela 4</t>
  </si>
  <si>
    <t>22 anos</t>
  </si>
  <si>
    <t>2 por saca</t>
  </si>
  <si>
    <t>1 SACA = 5 LATAS (70KG molhada; 50 KG seca)</t>
  </si>
  <si>
    <t>Barragem (Alenquer)</t>
  </si>
  <si>
    <t>Preço + 15/50 (Na comissão)</t>
  </si>
  <si>
    <t>Preço + 7,5 (Média) - Na comissão</t>
  </si>
  <si>
    <t>Antônio Graciano Gato Feijão</t>
  </si>
  <si>
    <t>20 por hct</t>
  </si>
  <si>
    <t>José Raimundo Gomes de Cássio</t>
  </si>
  <si>
    <t>Almerim - Casa do Ricardo</t>
  </si>
  <si>
    <t>30 anos</t>
  </si>
  <si>
    <t>Sim, cooperativas do Arumanduba, Recreio e Cafezal</t>
  </si>
  <si>
    <t>Empresa Mutran</t>
  </si>
  <si>
    <t xml:space="preserve"> Ele compra</t>
  </si>
  <si>
    <t>SACA; LATA</t>
  </si>
  <si>
    <t>SACA;KG</t>
  </si>
  <si>
    <t>Arumanduba</t>
  </si>
  <si>
    <t>Recreio</t>
  </si>
  <si>
    <t>Cafezal</t>
  </si>
  <si>
    <t>Coitabaú</t>
  </si>
  <si>
    <t>Estrada e Barco alugado</t>
  </si>
  <si>
    <t>Val (irmão do Ramon), Elso e Joaozinho</t>
  </si>
  <si>
    <t>Jarden Brazão, Verinaldo, Erivaldo, Emisson, Raimundo Fortino e Edson</t>
  </si>
  <si>
    <t>Vilso, Dondon, Cica, Nildo, Tuco, Aderaldo, Adilson e Admilson</t>
  </si>
  <si>
    <t>Preto, Clemildo, Zeca, Genevaldo, Valdivino, Dôca e Cutia</t>
  </si>
  <si>
    <t>Mauro Multran</t>
  </si>
  <si>
    <t>Belém, na fábrica</t>
  </si>
  <si>
    <t>Barco</t>
  </si>
  <si>
    <t>A empresa</t>
  </si>
  <si>
    <t>Média dos preços + Média por KG de 12,50</t>
  </si>
  <si>
    <t>Marcelo; Rosinelson; Lucas; José</t>
  </si>
  <si>
    <t>Sueli de Araújo Alcantara</t>
  </si>
  <si>
    <t>Mais de 35 anos</t>
  </si>
  <si>
    <t>Castanha= Ecto ; Litro; Lata. Cacau Kg= Saca de 5 KG</t>
  </si>
  <si>
    <t>Florenzano fornece a saca; Caiba não; Cumaru é a vendedora que compra</t>
  </si>
  <si>
    <t>3 à 3,50 do cumarú</t>
  </si>
  <si>
    <t>Cumaru; Castanha; Cacau</t>
  </si>
  <si>
    <t>Obidos: Cruzeirão ; São Pedro; São Domingos. Alenquer: Paraíso; Barragem; KM 30; Camburão; Nova União; Mamia; Vila de Palha; Cumina. Curuá. Monte Alegre: PDS Serra Azul.</t>
  </si>
  <si>
    <t>Revende</t>
  </si>
  <si>
    <t>Onibus de Linha</t>
  </si>
  <si>
    <t>Paraiso: Agenor; Barragem : Agenor. Camburão: Vanessa. Nova União: José. Vila de Palha : Celso. Cumina : Manoel</t>
  </si>
  <si>
    <t xml:space="preserve">Obidos: Cruzeirão ; São Pedro; São Domingos. Alenquer: Paraíso; Barragem; KM 30; Camburão; Nova União; Mamia; Vila de Palha; Cumina. </t>
  </si>
  <si>
    <t>Vila de Palha; Macupixi; Itacoatiara</t>
  </si>
  <si>
    <t>Vila de Palha: Celso; Macupixi: Darlindo; Itacoataira: Sadi</t>
  </si>
  <si>
    <t>Deposito</t>
  </si>
  <si>
    <t>35 anos</t>
  </si>
  <si>
    <t>ela entrega ate a balsa</t>
  </si>
  <si>
    <t>Comprador</t>
  </si>
  <si>
    <t>Balsa e caminhão</t>
  </si>
  <si>
    <t>Mutram</t>
  </si>
  <si>
    <t>Paratini</t>
  </si>
  <si>
    <t>Matoso (SP)</t>
  </si>
  <si>
    <t>Donald ( Francês)</t>
  </si>
  <si>
    <t>A Diferença ela que paga</t>
  </si>
  <si>
    <t>3 a 5 a saca</t>
  </si>
  <si>
    <t>Balsa</t>
  </si>
  <si>
    <t>Edgar de Leão Bentes</t>
  </si>
  <si>
    <t>Óbidos</t>
  </si>
  <si>
    <t>Andiroba; Piquiá; Cumaru; Mel de Abelha; Copaíba.</t>
  </si>
  <si>
    <t>Mel de Abelha</t>
  </si>
  <si>
    <t>Óbidos/Alenquer/Curuá</t>
  </si>
  <si>
    <t>Feira de Óbidos</t>
  </si>
  <si>
    <t>Ele busca</t>
  </si>
  <si>
    <t>Vários fornecedores (Um deles é a Neide)</t>
  </si>
  <si>
    <t>KG; L</t>
  </si>
  <si>
    <t xml:space="preserve">8 sacas = 8 reais; </t>
  </si>
  <si>
    <t>Fábrica no Maranhão/Mercado Livre</t>
  </si>
  <si>
    <t>Manaus</t>
  </si>
  <si>
    <t>10 anos com Nota Fiscal</t>
  </si>
  <si>
    <t>Difícil vender</t>
  </si>
  <si>
    <t>Quem compra</t>
  </si>
  <si>
    <t>R$ 163 - 8 kg</t>
  </si>
  <si>
    <t>Pajuçara - Monte Alegre</t>
  </si>
  <si>
    <t>Natanael C. da Silva</t>
  </si>
  <si>
    <t>5 L = 1 SACA SACA = 60 KG</t>
  </si>
  <si>
    <t>Municipio de Prainha - Comunidade Cupim</t>
  </si>
  <si>
    <t>Entregue na casa dos compradores</t>
  </si>
  <si>
    <t>Não sabe por nome</t>
  </si>
  <si>
    <t>Tita da Nova; Joaozinho; Jesus; Denilson.</t>
  </si>
  <si>
    <t>Casa do Saulo</t>
  </si>
  <si>
    <t>Na cidade de Monte Alegre</t>
  </si>
  <si>
    <t>24 anos</t>
  </si>
  <si>
    <t xml:space="preserve">kg por dia </t>
  </si>
  <si>
    <t>De acordo com o mercado</t>
  </si>
  <si>
    <t>No comércio dos compradores ou na casa dele</t>
  </si>
  <si>
    <t>No onibus que vai p/ Stm</t>
  </si>
  <si>
    <t>No onibus p/ Alenquer</t>
  </si>
  <si>
    <t>Sem Custo</t>
  </si>
  <si>
    <t>Ele que paga</t>
  </si>
  <si>
    <t>O vendedor</t>
  </si>
  <si>
    <t>Onibus</t>
  </si>
  <si>
    <t>KG;SACA</t>
  </si>
  <si>
    <t>Ele compra</t>
  </si>
  <si>
    <t>1,50 com 100 sacas; 15 uma saca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</si>
</sst>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[$R$ -416]#,##0.00"/>
    <numFmt numFmtId="166" formatCode="d/m/yyyy"/>
  </numFmts>
  <fonts count="2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color theme="1"/>
      <name val="Ariaç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rial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2" fontId="5" fillId="4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0" fontId="8" fillId="0" borderId="0" xfId="0" applyFont="1"/>
    <xf numFmtId="164" fontId="4" fillId="0" borderId="0" xfId="0" applyNumberFormat="1" applyFont="1"/>
    <xf numFmtId="164" fontId="4" fillId="3" borderId="8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4" fillId="4" borderId="8" xfId="0" applyFont="1" applyFill="1" applyBorder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/>
    <xf numFmtId="0" fontId="14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0" xfId="0" applyFont="1" applyFill="1"/>
    <xf numFmtId="0" fontId="0" fillId="5" borderId="0" xfId="0" applyFill="1"/>
    <xf numFmtId="14" fontId="5" fillId="5" borderId="4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2" fontId="5" fillId="5" borderId="4" xfId="0" applyNumberFormat="1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/>
    </xf>
    <xf numFmtId="0" fontId="5" fillId="5" borderId="4" xfId="0" quotePrefix="1" applyFont="1" applyFill="1" applyBorder="1" applyAlignment="1">
      <alignment horizontal="center"/>
    </xf>
    <xf numFmtId="0" fontId="5" fillId="4" borderId="4" xfId="0" quotePrefix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wrapText="1"/>
    </xf>
    <xf numFmtId="0" fontId="3" fillId="5" borderId="6" xfId="0" applyFont="1" applyFill="1" applyBorder="1"/>
    <xf numFmtId="2" fontId="5" fillId="5" borderId="4" xfId="0" quotePrefix="1" applyNumberFormat="1" applyFon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2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4" fontId="12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20" fontId="12" fillId="5" borderId="4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3" fontId="13" fillId="5" borderId="4" xfId="0" applyNumberFormat="1" applyFont="1" applyFill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0" fontId="13" fillId="5" borderId="0" xfId="0" applyFont="1" applyFill="1"/>
    <xf numFmtId="0" fontId="13" fillId="5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 wrapText="1"/>
    </xf>
    <xf numFmtId="20" fontId="5" fillId="5" borderId="4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3" fillId="5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2" fontId="13" fillId="4" borderId="4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2" fontId="13" fillId="5" borderId="4" xfId="0" applyNumberFormat="1" applyFont="1" applyFill="1" applyBorder="1" applyAlignment="1">
      <alignment horizontal="center"/>
    </xf>
    <xf numFmtId="20" fontId="13" fillId="5" borderId="4" xfId="0" applyNumberFormat="1" applyFont="1" applyFill="1" applyBorder="1" applyAlignment="1">
      <alignment horizontal="center" vertical="center"/>
    </xf>
    <xf numFmtId="20" fontId="5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3" fontId="13" fillId="5" borderId="4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4" fontId="13" fillId="5" borderId="4" xfId="0" applyNumberFormat="1" applyFont="1" applyFill="1" applyBorder="1" applyAlignment="1">
      <alignment horizontal="center" vertical="center" wrapText="1"/>
    </xf>
    <xf numFmtId="2" fontId="13" fillId="5" borderId="9" xfId="0" applyNumberFormat="1" applyFont="1" applyFill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14" fontId="13" fillId="5" borderId="4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2" fontId="13" fillId="4" borderId="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5" borderId="7" xfId="0" applyFont="1" applyFill="1" applyBorder="1"/>
    <xf numFmtId="1" fontId="6" fillId="5" borderId="4" xfId="0" applyNumberFormat="1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1" fontId="5" fillId="5" borderId="0" xfId="0" applyNumberFormat="1" applyFont="1" applyFill="1"/>
    <xf numFmtId="9" fontId="5" fillId="5" borderId="4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166" fontId="18" fillId="5" borderId="4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20" fontId="18" fillId="5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20" fontId="5" fillId="5" borderId="5" xfId="0" applyNumberFormat="1" applyFont="1" applyFill="1" applyBorder="1" applyAlignment="1">
      <alignment horizontal="center" vertical="center"/>
    </xf>
    <xf numFmtId="20" fontId="5" fillId="5" borderId="6" xfId="0" applyNumberFormat="1" applyFont="1" applyFill="1" applyBorder="1" applyAlignment="1">
      <alignment horizontal="center" vertical="center"/>
    </xf>
    <xf numFmtId="0" fontId="3" fillId="5" borderId="7" xfId="0" applyFont="1" applyFill="1" applyBorder="1"/>
    <xf numFmtId="0" fontId="3" fillId="5" borderId="6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wrapText="1"/>
    </xf>
    <xf numFmtId="2" fontId="5" fillId="5" borderId="5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4" fillId="0" borderId="5" xfId="0" applyFont="1" applyBorder="1" applyAlignment="1">
      <alignment horizontal="center" vertical="center"/>
    </xf>
    <xf numFmtId="0" fontId="5" fillId="5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7" ySplit="2" topLeftCell="H24" activePane="bottomRight" state="frozen"/>
      <selection pane="topRight" activeCell="G1" sqref="G1"/>
      <selection pane="bottomLeft" activeCell="A3" sqref="A3"/>
      <selection pane="bottomRight" activeCell="T31" sqref="T31"/>
    </sheetView>
  </sheetViews>
  <sheetFormatPr defaultColWidth="12.6640625" defaultRowHeight="15" customHeight="1"/>
  <cols>
    <col min="1" max="1" width="11.6640625" customWidth="1"/>
    <col min="2" max="2" width="13.6640625" customWidth="1"/>
    <col min="3" max="3" width="14" customWidth="1"/>
    <col min="4" max="4" width="19.77734375" customWidth="1"/>
    <col min="5" max="5" width="21" customWidth="1"/>
    <col min="6" max="6" width="12.77734375" customWidth="1"/>
    <col min="7" max="7" width="7.77734375" customWidth="1"/>
    <col min="8" max="8" width="20.77734375" customWidth="1"/>
    <col min="9" max="9" width="14" customWidth="1"/>
    <col min="10" max="10" width="15.6640625" customWidth="1"/>
    <col min="11" max="11" width="18.21875" customWidth="1"/>
    <col min="12" max="12" width="14.109375" customWidth="1"/>
    <col min="13" max="13" width="12.44140625" customWidth="1"/>
    <col min="14" max="14" width="12.88671875" customWidth="1"/>
    <col min="15" max="15" width="14.109375" customWidth="1"/>
    <col min="16" max="17" width="11.88671875" customWidth="1"/>
    <col min="18" max="18" width="18.21875" customWidth="1"/>
    <col min="19" max="19" width="19.88671875" customWidth="1"/>
    <col min="20" max="20" width="12.88671875" customWidth="1"/>
    <col min="21" max="27" width="8.6640625" customWidth="1"/>
  </cols>
  <sheetData>
    <row r="1" spans="1:27" ht="14.25" customHeight="1">
      <c r="A1" s="139" t="s">
        <v>0</v>
      </c>
      <c r="B1" s="140"/>
      <c r="C1" s="141"/>
      <c r="D1" s="141"/>
      <c r="E1" s="141"/>
      <c r="F1" s="141"/>
      <c r="G1" s="142"/>
      <c r="H1" s="143" t="s">
        <v>1</v>
      </c>
      <c r="I1" s="141"/>
      <c r="J1" s="141"/>
      <c r="K1" s="141"/>
      <c r="L1" s="141"/>
      <c r="M1" s="141"/>
      <c r="N1" s="142"/>
      <c r="O1" s="143" t="s">
        <v>2</v>
      </c>
      <c r="P1" s="141"/>
      <c r="Q1" s="141"/>
      <c r="R1" s="141"/>
      <c r="S1" s="142"/>
      <c r="T1" s="1"/>
    </row>
    <row r="2" spans="1:27" ht="66" customHeight="1">
      <c r="A2" s="2" t="s">
        <v>3</v>
      </c>
      <c r="B2" s="2" t="s">
        <v>519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11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7" s="50" customFormat="1" ht="38.4" customHeight="1">
      <c r="A3" s="43">
        <v>51</v>
      </c>
      <c r="B3" s="43"/>
      <c r="C3" s="48">
        <v>45860</v>
      </c>
      <c r="D3" s="43" t="s">
        <v>21</v>
      </c>
      <c r="E3" s="42" t="s">
        <v>22</v>
      </c>
      <c r="F3" s="42" t="s">
        <v>525</v>
      </c>
      <c r="G3" s="43" t="s">
        <v>23</v>
      </c>
      <c r="H3" s="42" t="s">
        <v>24</v>
      </c>
      <c r="I3" s="43" t="s">
        <v>25</v>
      </c>
      <c r="J3" s="44" t="s">
        <v>520</v>
      </c>
      <c r="K3" s="42" t="s">
        <v>27</v>
      </c>
      <c r="L3" s="43" t="s">
        <v>28</v>
      </c>
      <c r="M3" s="45" t="s">
        <v>29</v>
      </c>
      <c r="N3" s="43" t="s">
        <v>30</v>
      </c>
      <c r="O3" s="45" t="s">
        <v>54</v>
      </c>
      <c r="P3" s="43">
        <v>1</v>
      </c>
      <c r="Q3" s="43" t="s">
        <v>26</v>
      </c>
      <c r="R3" s="42" t="s">
        <v>31</v>
      </c>
      <c r="S3" s="43">
        <v>5</v>
      </c>
      <c r="T3" s="45" t="s">
        <v>29</v>
      </c>
      <c r="U3" s="49"/>
      <c r="V3" s="49"/>
      <c r="W3" s="49"/>
      <c r="X3" s="49"/>
      <c r="Y3" s="49"/>
      <c r="Z3" s="49"/>
      <c r="AA3" s="49"/>
    </row>
    <row r="4" spans="1:27" s="47" customFormat="1" ht="43.8" customHeight="1">
      <c r="A4" s="43">
        <v>52</v>
      </c>
      <c r="B4" s="43"/>
      <c r="C4" s="52">
        <v>45860</v>
      </c>
      <c r="D4" s="43" t="s">
        <v>529</v>
      </c>
      <c r="E4" s="42" t="s">
        <v>32</v>
      </c>
      <c r="F4" s="42" t="s">
        <v>525</v>
      </c>
      <c r="G4" s="43" t="s">
        <v>33</v>
      </c>
      <c r="H4" s="42" t="s">
        <v>34</v>
      </c>
      <c r="I4" s="43" t="s">
        <v>35</v>
      </c>
      <c r="J4" s="44" t="s">
        <v>521</v>
      </c>
      <c r="K4" s="42" t="s">
        <v>27</v>
      </c>
      <c r="L4" s="43" t="s">
        <v>36</v>
      </c>
      <c r="M4" s="43" t="s">
        <v>522</v>
      </c>
      <c r="N4" s="43" t="s">
        <v>37</v>
      </c>
      <c r="O4" s="43" t="s">
        <v>54</v>
      </c>
      <c r="P4" s="43" t="s">
        <v>29</v>
      </c>
      <c r="Q4" s="43" t="s">
        <v>29</v>
      </c>
      <c r="R4" s="43" t="s">
        <v>29</v>
      </c>
      <c r="S4" s="43" t="s">
        <v>29</v>
      </c>
      <c r="T4" s="43" t="s">
        <v>29</v>
      </c>
      <c r="U4" s="46"/>
      <c r="V4" s="46"/>
      <c r="W4" s="46"/>
      <c r="X4" s="46"/>
      <c r="Y4" s="46"/>
      <c r="Z4" s="46"/>
      <c r="AA4" s="46"/>
    </row>
    <row r="5" spans="1:27" s="47" customFormat="1" ht="49.2" customHeight="1">
      <c r="A5" s="43">
        <v>53</v>
      </c>
      <c r="B5" s="43"/>
      <c r="C5" s="48">
        <v>45860</v>
      </c>
      <c r="D5" s="43" t="s">
        <v>38</v>
      </c>
      <c r="E5" s="42" t="s">
        <v>39</v>
      </c>
      <c r="F5" s="42" t="s">
        <v>525</v>
      </c>
      <c r="G5" s="43" t="s">
        <v>40</v>
      </c>
      <c r="H5" s="42" t="s">
        <v>41</v>
      </c>
      <c r="I5" s="43" t="s">
        <v>42</v>
      </c>
      <c r="J5" s="44" t="s">
        <v>530</v>
      </c>
      <c r="K5" s="42" t="s">
        <v>43</v>
      </c>
      <c r="L5" s="43" t="s">
        <v>28</v>
      </c>
      <c r="M5" s="45" t="s">
        <v>29</v>
      </c>
      <c r="N5" s="43" t="s">
        <v>44</v>
      </c>
      <c r="O5" s="43" t="s">
        <v>54</v>
      </c>
      <c r="P5" s="43">
        <v>1</v>
      </c>
      <c r="Q5" s="43" t="s">
        <v>45</v>
      </c>
      <c r="R5" s="43" t="s">
        <v>46</v>
      </c>
      <c r="S5" s="43">
        <v>5</v>
      </c>
      <c r="T5" s="45" t="s">
        <v>29</v>
      </c>
      <c r="U5" s="46"/>
      <c r="V5" s="46"/>
      <c r="W5" s="46"/>
      <c r="X5" s="46"/>
      <c r="Y5" s="46"/>
      <c r="Z5" s="46"/>
      <c r="AA5" s="46"/>
    </row>
    <row r="6" spans="1:27" s="47" customFormat="1" ht="16.8" customHeight="1">
      <c r="A6" s="120">
        <v>54</v>
      </c>
      <c r="B6" s="58"/>
      <c r="C6" s="132">
        <v>45860</v>
      </c>
      <c r="D6" s="120" t="s">
        <v>21</v>
      </c>
      <c r="E6" s="120" t="s">
        <v>47</v>
      </c>
      <c r="F6" s="124" t="s">
        <v>532</v>
      </c>
      <c r="G6" s="120" t="s">
        <v>48</v>
      </c>
      <c r="H6" s="42" t="s">
        <v>67</v>
      </c>
      <c r="I6" s="43" t="s">
        <v>49</v>
      </c>
      <c r="J6" s="43" t="s">
        <v>50</v>
      </c>
      <c r="K6" s="42" t="s">
        <v>27</v>
      </c>
      <c r="L6" s="43" t="s">
        <v>28</v>
      </c>
      <c r="M6" s="59">
        <f>AVERAGE(50,30,25)</f>
        <v>35</v>
      </c>
      <c r="N6" s="42" t="s">
        <v>37</v>
      </c>
      <c r="O6" s="43" t="s">
        <v>26</v>
      </c>
      <c r="P6" s="42">
        <f>AVERAGE(350,400)</f>
        <v>375</v>
      </c>
      <c r="Q6" s="43" t="s">
        <v>26</v>
      </c>
      <c r="R6" s="43" t="s">
        <v>51</v>
      </c>
      <c r="S6" s="43" t="s">
        <v>52</v>
      </c>
      <c r="T6" s="43" t="s">
        <v>29</v>
      </c>
      <c r="U6" s="46"/>
      <c r="V6" s="46"/>
      <c r="W6" s="46"/>
      <c r="X6" s="46"/>
      <c r="Y6" s="46"/>
      <c r="Z6" s="46"/>
      <c r="AA6" s="46"/>
    </row>
    <row r="7" spans="1:27" s="47" customFormat="1" ht="16.8" customHeight="1">
      <c r="A7" s="138"/>
      <c r="B7" s="60"/>
      <c r="C7" s="133"/>
      <c r="D7" s="138"/>
      <c r="E7" s="138"/>
      <c r="F7" s="144"/>
      <c r="G7" s="138"/>
      <c r="H7" s="43" t="s">
        <v>53</v>
      </c>
      <c r="I7" s="43" t="s">
        <v>49</v>
      </c>
      <c r="J7" s="43" t="s">
        <v>531</v>
      </c>
      <c r="K7" s="42" t="s">
        <v>27</v>
      </c>
      <c r="L7" s="43" t="s">
        <v>28</v>
      </c>
      <c r="M7" s="43">
        <f>AVERAGE(50,100)</f>
        <v>75</v>
      </c>
      <c r="N7" s="43" t="s">
        <v>30</v>
      </c>
      <c r="O7" s="43" t="s">
        <v>54</v>
      </c>
      <c r="P7" s="43">
        <f>AVERAGE(160,170)</f>
        <v>165</v>
      </c>
      <c r="Q7" s="43" t="s">
        <v>54</v>
      </c>
      <c r="R7" s="43" t="s">
        <v>51</v>
      </c>
      <c r="S7" s="43"/>
      <c r="T7" s="43"/>
      <c r="U7" s="46"/>
      <c r="V7" s="46"/>
      <c r="W7" s="46"/>
      <c r="X7" s="46"/>
      <c r="Y7" s="46"/>
      <c r="Z7" s="46"/>
      <c r="AA7" s="46"/>
    </row>
    <row r="8" spans="1:27" s="47" customFormat="1" ht="55.2">
      <c r="A8" s="43">
        <v>55</v>
      </c>
      <c r="B8" s="43"/>
      <c r="C8" s="48">
        <v>45862</v>
      </c>
      <c r="D8" s="43" t="s">
        <v>55</v>
      </c>
      <c r="E8" s="42" t="s">
        <v>56</v>
      </c>
      <c r="F8" s="42" t="s">
        <v>553</v>
      </c>
      <c r="G8" s="43" t="s">
        <v>57</v>
      </c>
      <c r="H8" s="42" t="s">
        <v>58</v>
      </c>
      <c r="I8" s="43" t="s">
        <v>59</v>
      </c>
      <c r="J8" s="43" t="s">
        <v>520</v>
      </c>
      <c r="K8" s="43" t="s">
        <v>27</v>
      </c>
      <c r="L8" s="43" t="s">
        <v>28</v>
      </c>
      <c r="M8" s="43" t="s">
        <v>29</v>
      </c>
      <c r="N8" s="43" t="s">
        <v>29</v>
      </c>
      <c r="O8" s="43" t="s">
        <v>54</v>
      </c>
      <c r="P8" s="43">
        <v>5</v>
      </c>
      <c r="Q8" s="43" t="s">
        <v>60</v>
      </c>
      <c r="R8" s="42" t="s">
        <v>61</v>
      </c>
      <c r="S8" s="42" t="s">
        <v>62</v>
      </c>
      <c r="T8" s="43" t="s">
        <v>29</v>
      </c>
      <c r="U8" s="46"/>
      <c r="V8" s="46"/>
      <c r="W8" s="46"/>
      <c r="X8" s="46"/>
      <c r="Y8" s="46"/>
      <c r="Z8" s="46"/>
      <c r="AA8" s="46"/>
    </row>
    <row r="9" spans="1:27" s="47" customFormat="1" ht="14.25" customHeight="1">
      <c r="A9" s="120">
        <v>56</v>
      </c>
      <c r="B9" s="58"/>
      <c r="C9" s="132">
        <v>45861</v>
      </c>
      <c r="D9" s="120" t="s">
        <v>63</v>
      </c>
      <c r="E9" s="120" t="s">
        <v>64</v>
      </c>
      <c r="F9" s="120" t="s">
        <v>65</v>
      </c>
      <c r="G9" s="120" t="s">
        <v>66</v>
      </c>
      <c r="H9" s="42" t="s">
        <v>67</v>
      </c>
      <c r="I9" s="43" t="s">
        <v>68</v>
      </c>
      <c r="J9" s="120" t="s">
        <v>520</v>
      </c>
      <c r="K9" s="43" t="s">
        <v>27</v>
      </c>
      <c r="L9" s="43" t="s">
        <v>28</v>
      </c>
      <c r="M9" s="43" t="s">
        <v>29</v>
      </c>
      <c r="N9" s="43" t="s">
        <v>29</v>
      </c>
      <c r="O9" s="43" t="s">
        <v>54</v>
      </c>
      <c r="P9" s="43" t="s">
        <v>29</v>
      </c>
      <c r="Q9" s="43" t="s">
        <v>29</v>
      </c>
      <c r="R9" s="43" t="s">
        <v>29</v>
      </c>
      <c r="S9" s="43" t="s">
        <v>29</v>
      </c>
      <c r="T9" s="43" t="s">
        <v>29</v>
      </c>
      <c r="U9" s="46"/>
      <c r="V9" s="46"/>
      <c r="W9" s="46"/>
      <c r="X9" s="46"/>
      <c r="Y9" s="46"/>
      <c r="Z9" s="46"/>
      <c r="AA9" s="46"/>
    </row>
    <row r="10" spans="1:27" s="47" customFormat="1" ht="14.25" customHeight="1">
      <c r="A10" s="137"/>
      <c r="B10" s="103"/>
      <c r="C10" s="137"/>
      <c r="D10" s="137"/>
      <c r="E10" s="137"/>
      <c r="F10" s="137"/>
      <c r="G10" s="137"/>
      <c r="H10" s="43" t="s">
        <v>69</v>
      </c>
      <c r="I10" s="43" t="s">
        <v>70</v>
      </c>
      <c r="J10" s="129"/>
      <c r="K10" s="43" t="s">
        <v>27</v>
      </c>
      <c r="L10" s="43" t="s">
        <v>28</v>
      </c>
      <c r="M10" s="43" t="s">
        <v>29</v>
      </c>
      <c r="N10" s="43" t="s">
        <v>29</v>
      </c>
      <c r="O10" s="43" t="s">
        <v>54</v>
      </c>
      <c r="P10" s="43" t="s">
        <v>29</v>
      </c>
      <c r="Q10" s="43" t="s">
        <v>29</v>
      </c>
      <c r="R10" s="43" t="s">
        <v>29</v>
      </c>
      <c r="S10" s="43" t="s">
        <v>29</v>
      </c>
      <c r="T10" s="43" t="s">
        <v>29</v>
      </c>
      <c r="U10" s="46"/>
      <c r="V10" s="46"/>
      <c r="W10" s="46"/>
      <c r="X10" s="46"/>
      <c r="Y10" s="46"/>
      <c r="Z10" s="46"/>
      <c r="AA10" s="46"/>
    </row>
    <row r="11" spans="1:27" s="47" customFormat="1" ht="14.25" customHeight="1">
      <c r="A11" s="138"/>
      <c r="B11" s="60"/>
      <c r="C11" s="138"/>
      <c r="D11" s="138"/>
      <c r="E11" s="138"/>
      <c r="F11" s="138"/>
      <c r="G11" s="138"/>
      <c r="H11" s="43" t="s">
        <v>71</v>
      </c>
      <c r="I11" s="43" t="s">
        <v>29</v>
      </c>
      <c r="J11" s="129"/>
      <c r="K11" s="43" t="s">
        <v>27</v>
      </c>
      <c r="L11" s="43" t="s">
        <v>28</v>
      </c>
      <c r="M11" s="43" t="s">
        <v>29</v>
      </c>
      <c r="N11" s="43" t="s">
        <v>29</v>
      </c>
      <c r="O11" s="43" t="s">
        <v>54</v>
      </c>
      <c r="P11" s="43" t="s">
        <v>29</v>
      </c>
      <c r="Q11" s="43" t="s">
        <v>29</v>
      </c>
      <c r="R11" s="43" t="s">
        <v>29</v>
      </c>
      <c r="S11" s="43" t="s">
        <v>29</v>
      </c>
      <c r="T11" s="43" t="s">
        <v>29</v>
      </c>
      <c r="U11" s="46"/>
      <c r="V11" s="46"/>
      <c r="W11" s="46"/>
      <c r="X11" s="46"/>
      <c r="Y11" s="46"/>
      <c r="Z11" s="46"/>
      <c r="AA11" s="46"/>
    </row>
    <row r="12" spans="1:27" s="47" customFormat="1" ht="14.25" customHeight="1">
      <c r="A12" s="43">
        <v>57</v>
      </c>
      <c r="B12" s="43"/>
      <c r="C12" s="52">
        <v>45860</v>
      </c>
      <c r="D12" s="43" t="s">
        <v>55</v>
      </c>
      <c r="E12" s="43" t="s">
        <v>72</v>
      </c>
      <c r="F12" s="43" t="s">
        <v>65</v>
      </c>
      <c r="G12" s="43" t="s">
        <v>73</v>
      </c>
      <c r="H12" s="43" t="s">
        <v>69</v>
      </c>
      <c r="I12" s="108" t="s">
        <v>42</v>
      </c>
      <c r="J12" s="110" t="s">
        <v>520</v>
      </c>
      <c r="K12" s="109" t="s">
        <v>27</v>
      </c>
      <c r="L12" s="43" t="s">
        <v>28</v>
      </c>
      <c r="M12" s="43" t="s">
        <v>29</v>
      </c>
      <c r="N12" s="42" t="s">
        <v>37</v>
      </c>
      <c r="O12" s="43" t="s">
        <v>54</v>
      </c>
      <c r="P12" s="43" t="s">
        <v>29</v>
      </c>
      <c r="Q12" s="43" t="s">
        <v>29</v>
      </c>
      <c r="R12" s="43" t="s">
        <v>46</v>
      </c>
      <c r="S12" s="43" t="s">
        <v>74</v>
      </c>
      <c r="T12" s="43" t="s">
        <v>29</v>
      </c>
      <c r="U12" s="46"/>
      <c r="V12" s="46"/>
      <c r="W12" s="46"/>
      <c r="X12" s="46"/>
      <c r="Y12" s="46"/>
      <c r="Z12" s="46"/>
      <c r="AA12" s="46"/>
    </row>
    <row r="13" spans="1:27" s="47" customFormat="1" ht="67.2" customHeight="1">
      <c r="A13" s="43">
        <v>58</v>
      </c>
      <c r="B13" s="43"/>
      <c r="C13" s="48" t="s">
        <v>29</v>
      </c>
      <c r="D13" s="43" t="s">
        <v>29</v>
      </c>
      <c r="E13" s="42" t="s">
        <v>75</v>
      </c>
      <c r="F13" s="42" t="s">
        <v>569</v>
      </c>
      <c r="G13" s="43" t="s">
        <v>76</v>
      </c>
      <c r="H13" s="42" t="s">
        <v>58</v>
      </c>
      <c r="I13" s="108" t="s">
        <v>42</v>
      </c>
      <c r="J13" s="102" t="s">
        <v>568</v>
      </c>
      <c r="K13" s="109" t="s">
        <v>27</v>
      </c>
      <c r="L13" s="43" t="s">
        <v>29</v>
      </c>
      <c r="M13" s="43">
        <f>40.5*60</f>
        <v>2430</v>
      </c>
      <c r="N13" s="43" t="s">
        <v>30</v>
      </c>
      <c r="O13" s="43" t="s">
        <v>580</v>
      </c>
      <c r="P13" s="43" t="s">
        <v>29</v>
      </c>
      <c r="Q13" s="43" t="s">
        <v>29</v>
      </c>
      <c r="R13" s="43" t="s">
        <v>77</v>
      </c>
      <c r="S13" s="43" t="s">
        <v>29</v>
      </c>
      <c r="T13" s="43" t="s">
        <v>29</v>
      </c>
      <c r="U13" s="46"/>
      <c r="V13" s="46"/>
      <c r="W13" s="46"/>
      <c r="X13" s="46"/>
      <c r="Y13" s="46"/>
      <c r="Z13" s="46"/>
      <c r="AA13" s="46"/>
    </row>
    <row r="14" spans="1:27" s="113" customFormat="1" ht="79.2" customHeight="1">
      <c r="A14" s="43">
        <v>59</v>
      </c>
      <c r="B14" s="43"/>
      <c r="C14" s="48">
        <v>45870</v>
      </c>
      <c r="D14" s="43" t="s">
        <v>78</v>
      </c>
      <c r="E14" s="42" t="s">
        <v>572</v>
      </c>
      <c r="F14" s="43" t="s">
        <v>79</v>
      </c>
      <c r="G14" s="86">
        <v>0.65277777777777779</v>
      </c>
      <c r="H14" s="43" t="s">
        <v>69</v>
      </c>
      <c r="I14" s="108" t="s">
        <v>80</v>
      </c>
      <c r="J14" s="42" t="s">
        <v>81</v>
      </c>
      <c r="K14" s="109" t="s">
        <v>27</v>
      </c>
      <c r="L14" s="71" t="s">
        <v>82</v>
      </c>
      <c r="M14" s="43" t="s">
        <v>29</v>
      </c>
      <c r="N14" s="43" t="s">
        <v>29</v>
      </c>
      <c r="O14" s="43" t="s">
        <v>580</v>
      </c>
      <c r="P14" s="43" t="s">
        <v>29</v>
      </c>
      <c r="Q14" s="43" t="s">
        <v>29</v>
      </c>
      <c r="R14" s="43" t="s">
        <v>29</v>
      </c>
      <c r="S14" s="43">
        <v>2</v>
      </c>
      <c r="T14" s="43" t="s">
        <v>29</v>
      </c>
      <c r="U14" s="112"/>
      <c r="V14" s="112"/>
      <c r="W14" s="112"/>
      <c r="X14" s="112"/>
      <c r="Y14" s="112"/>
      <c r="Z14" s="112"/>
      <c r="AA14" s="112"/>
    </row>
    <row r="15" spans="1:27" s="79" customFormat="1" ht="56.4" customHeight="1">
      <c r="A15" s="42">
        <v>60</v>
      </c>
      <c r="B15" s="42"/>
      <c r="C15" s="77">
        <v>45924</v>
      </c>
      <c r="D15" s="42" t="s">
        <v>78</v>
      </c>
      <c r="E15" s="42" t="s">
        <v>83</v>
      </c>
      <c r="F15" s="42" t="s">
        <v>538</v>
      </c>
      <c r="G15" s="78">
        <v>0.39583333333333331</v>
      </c>
      <c r="H15" s="42" t="s">
        <v>84</v>
      </c>
      <c r="I15" s="42" t="s">
        <v>85</v>
      </c>
      <c r="J15" s="111" t="s">
        <v>541</v>
      </c>
      <c r="K15" s="42" t="s">
        <v>27</v>
      </c>
      <c r="L15" s="42" t="s">
        <v>28</v>
      </c>
      <c r="M15" s="42" t="s">
        <v>29</v>
      </c>
      <c r="N15" s="42" t="s">
        <v>29</v>
      </c>
      <c r="O15" s="42" t="s">
        <v>26</v>
      </c>
      <c r="P15" s="42" t="s">
        <v>29</v>
      </c>
      <c r="Q15" s="42" t="s">
        <v>26</v>
      </c>
      <c r="R15" s="42" t="s">
        <v>87</v>
      </c>
      <c r="S15" s="42" t="s">
        <v>88</v>
      </c>
      <c r="T15" s="42" t="s">
        <v>29</v>
      </c>
    </row>
    <row r="16" spans="1:27" s="50" customFormat="1" ht="28.2" customHeight="1">
      <c r="A16" s="43">
        <v>61</v>
      </c>
      <c r="B16" s="43"/>
      <c r="C16" s="48">
        <v>45924</v>
      </c>
      <c r="D16" s="43" t="s">
        <v>78</v>
      </c>
      <c r="E16" s="43" t="s">
        <v>89</v>
      </c>
      <c r="F16" s="42" t="s">
        <v>551</v>
      </c>
      <c r="G16" s="86">
        <v>0.66666666666666663</v>
      </c>
      <c r="H16" s="43" t="s">
        <v>91</v>
      </c>
      <c r="I16" s="43" t="s">
        <v>92</v>
      </c>
      <c r="J16" s="43" t="s">
        <v>26</v>
      </c>
      <c r="K16" s="43" t="s">
        <v>27</v>
      </c>
      <c r="L16" s="43" t="s">
        <v>93</v>
      </c>
      <c r="M16" s="43" t="s">
        <v>29</v>
      </c>
      <c r="N16" s="43" t="s">
        <v>29</v>
      </c>
      <c r="O16" s="42" t="s">
        <v>26</v>
      </c>
      <c r="P16" s="43" t="s">
        <v>29</v>
      </c>
      <c r="Q16" s="87"/>
      <c r="R16" s="70" t="s">
        <v>549</v>
      </c>
      <c r="S16" s="43" t="s">
        <v>94</v>
      </c>
      <c r="T16" s="43" t="s">
        <v>29</v>
      </c>
    </row>
    <row r="17" spans="1:20" s="49" customFormat="1" ht="42.6" customHeight="1">
      <c r="A17" s="43">
        <v>62</v>
      </c>
      <c r="B17" s="43"/>
      <c r="C17" s="48">
        <v>45924</v>
      </c>
      <c r="D17" s="43" t="s">
        <v>95</v>
      </c>
      <c r="E17" s="43" t="s">
        <v>96</v>
      </c>
      <c r="F17" s="102" t="s">
        <v>449</v>
      </c>
      <c r="G17" s="43" t="s">
        <v>29</v>
      </c>
      <c r="H17" s="43" t="s">
        <v>69</v>
      </c>
      <c r="I17" s="56" t="s">
        <v>566</v>
      </c>
      <c r="J17" s="43" t="s">
        <v>86</v>
      </c>
      <c r="K17" s="43" t="s">
        <v>27</v>
      </c>
      <c r="L17" s="43" t="s">
        <v>93</v>
      </c>
      <c r="M17" s="43" t="s">
        <v>29</v>
      </c>
      <c r="N17" s="43" t="s">
        <v>30</v>
      </c>
      <c r="O17" s="43" t="s">
        <v>26</v>
      </c>
      <c r="P17" s="43" t="s">
        <v>29</v>
      </c>
      <c r="Q17" s="43" t="s">
        <v>29</v>
      </c>
      <c r="R17" s="42" t="s">
        <v>98</v>
      </c>
      <c r="S17" s="43" t="s">
        <v>29</v>
      </c>
      <c r="T17" s="43" t="s">
        <v>29</v>
      </c>
    </row>
    <row r="18" spans="1:20" s="69" customFormat="1" ht="46.2" customHeight="1">
      <c r="A18" s="65">
        <v>63</v>
      </c>
      <c r="B18" s="65"/>
      <c r="C18" s="66">
        <v>45924</v>
      </c>
      <c r="D18" s="65" t="s">
        <v>442</v>
      </c>
      <c r="E18" s="67" t="s">
        <v>443</v>
      </c>
      <c r="F18" s="67" t="s">
        <v>449</v>
      </c>
      <c r="G18" s="68">
        <v>0.65277777777777779</v>
      </c>
      <c r="H18" s="67" t="s">
        <v>447</v>
      </c>
      <c r="I18" s="67" t="s">
        <v>448</v>
      </c>
      <c r="J18" s="42" t="s">
        <v>445</v>
      </c>
      <c r="K18" s="43" t="s">
        <v>27</v>
      </c>
      <c r="L18" s="65" t="s">
        <v>28</v>
      </c>
      <c r="M18" s="65" t="s">
        <v>29</v>
      </c>
      <c r="N18" s="65" t="s">
        <v>29</v>
      </c>
      <c r="O18" s="65" t="s">
        <v>444</v>
      </c>
      <c r="P18" s="65" t="s">
        <v>29</v>
      </c>
      <c r="Q18" s="65" t="s">
        <v>26</v>
      </c>
      <c r="R18" s="65" t="s">
        <v>446</v>
      </c>
      <c r="S18" s="65" t="s">
        <v>74</v>
      </c>
      <c r="T18" s="65" t="s">
        <v>29</v>
      </c>
    </row>
    <row r="19" spans="1:20" s="74" customFormat="1" ht="55.8" customHeight="1">
      <c r="A19" s="70">
        <v>64</v>
      </c>
      <c r="B19" s="70"/>
      <c r="C19" s="66">
        <v>45925</v>
      </c>
      <c r="D19" s="70" t="s">
        <v>460</v>
      </c>
      <c r="E19" s="70" t="s">
        <v>461</v>
      </c>
      <c r="F19" s="67" t="s">
        <v>449</v>
      </c>
      <c r="G19" s="85">
        <v>0.37847222222222221</v>
      </c>
      <c r="H19" s="71" t="s">
        <v>462</v>
      </c>
      <c r="I19" s="70" t="s">
        <v>70</v>
      </c>
      <c r="J19" s="42" t="s">
        <v>445</v>
      </c>
      <c r="K19" s="43" t="s">
        <v>27</v>
      </c>
      <c r="L19" s="65" t="s">
        <v>28</v>
      </c>
      <c r="M19" s="65" t="s">
        <v>29</v>
      </c>
      <c r="N19" s="65" t="s">
        <v>29</v>
      </c>
      <c r="O19" s="65" t="s">
        <v>444</v>
      </c>
      <c r="P19" s="65" t="s">
        <v>29</v>
      </c>
      <c r="Q19" s="65" t="s">
        <v>26</v>
      </c>
      <c r="R19" s="71" t="s">
        <v>463</v>
      </c>
      <c r="S19" s="65" t="s">
        <v>74</v>
      </c>
      <c r="T19" s="65" t="s">
        <v>29</v>
      </c>
    </row>
    <row r="20" spans="1:20" s="74" customFormat="1" ht="67.2" customHeight="1">
      <c r="A20" s="70">
        <v>65</v>
      </c>
      <c r="B20" s="70"/>
      <c r="C20" s="95">
        <v>45926</v>
      </c>
      <c r="D20" s="70" t="s">
        <v>460</v>
      </c>
      <c r="E20" s="71" t="s">
        <v>471</v>
      </c>
      <c r="F20" s="71" t="s">
        <v>470</v>
      </c>
      <c r="G20" s="70" t="s">
        <v>29</v>
      </c>
      <c r="H20" s="71" t="s">
        <v>447</v>
      </c>
      <c r="I20" s="70" t="s">
        <v>472</v>
      </c>
      <c r="J20" s="43" t="s">
        <v>473</v>
      </c>
      <c r="K20" s="43" t="s">
        <v>27</v>
      </c>
      <c r="L20" s="67" t="s">
        <v>474</v>
      </c>
      <c r="M20" s="70" t="s">
        <v>29</v>
      </c>
      <c r="N20" s="65" t="s">
        <v>29</v>
      </c>
      <c r="O20" s="65" t="s">
        <v>475</v>
      </c>
      <c r="P20" s="65" t="s">
        <v>29</v>
      </c>
      <c r="Q20" s="65" t="s">
        <v>26</v>
      </c>
      <c r="R20" s="71" t="s">
        <v>476</v>
      </c>
      <c r="S20" s="70" t="s">
        <v>477</v>
      </c>
      <c r="T20" s="70" t="s">
        <v>29</v>
      </c>
    </row>
    <row r="21" spans="1:20" s="74" customFormat="1" ht="58.8" customHeight="1">
      <c r="A21" s="70">
        <v>66</v>
      </c>
      <c r="B21" s="70"/>
      <c r="C21" s="95">
        <v>45925</v>
      </c>
      <c r="D21" s="71" t="s">
        <v>493</v>
      </c>
      <c r="E21" s="71" t="s">
        <v>494</v>
      </c>
      <c r="F21" s="67" t="s">
        <v>449</v>
      </c>
      <c r="G21" s="85">
        <v>0.38194444444444442</v>
      </c>
      <c r="H21" s="71" t="s">
        <v>447</v>
      </c>
      <c r="I21" s="70" t="s">
        <v>374</v>
      </c>
      <c r="J21" s="42" t="s">
        <v>516</v>
      </c>
      <c r="K21" s="43" t="s">
        <v>27</v>
      </c>
      <c r="L21" s="70" t="s">
        <v>28</v>
      </c>
      <c r="M21" s="70" t="s">
        <v>29</v>
      </c>
      <c r="N21" s="65" t="s">
        <v>29</v>
      </c>
      <c r="O21" s="71" t="s">
        <v>502</v>
      </c>
      <c r="P21" s="65" t="s">
        <v>29</v>
      </c>
      <c r="Q21" s="65" t="s">
        <v>26</v>
      </c>
      <c r="R21" s="71" t="s">
        <v>503</v>
      </c>
      <c r="S21" s="70" t="s">
        <v>504</v>
      </c>
      <c r="T21" s="70" t="s">
        <v>29</v>
      </c>
    </row>
    <row r="22" spans="1:20" s="74" customFormat="1" ht="69.599999999999994" customHeight="1">
      <c r="A22" s="70">
        <v>67</v>
      </c>
      <c r="B22" s="97"/>
      <c r="C22" s="98">
        <v>45989</v>
      </c>
      <c r="D22" s="97" t="s">
        <v>554</v>
      </c>
      <c r="E22" s="99" t="s">
        <v>555</v>
      </c>
      <c r="F22" s="97" t="s">
        <v>556</v>
      </c>
      <c r="G22" s="97" t="s">
        <v>29</v>
      </c>
      <c r="H22" s="99" t="s">
        <v>69</v>
      </c>
      <c r="I22" s="99" t="s">
        <v>557</v>
      </c>
      <c r="J22" s="102" t="s">
        <v>561</v>
      </c>
      <c r="K22" s="97" t="s">
        <v>558</v>
      </c>
      <c r="L22" s="97" t="s">
        <v>29</v>
      </c>
      <c r="M22" s="97" t="s">
        <v>29</v>
      </c>
      <c r="N22" s="97" t="s">
        <v>30</v>
      </c>
      <c r="O22" s="56" t="s">
        <v>581</v>
      </c>
      <c r="P22" s="97" t="s">
        <v>29</v>
      </c>
      <c r="Q22" s="97" t="s">
        <v>29</v>
      </c>
      <c r="R22" s="97" t="s">
        <v>559</v>
      </c>
      <c r="S22" s="99" t="s">
        <v>560</v>
      </c>
      <c r="T22" s="99" t="s">
        <v>565</v>
      </c>
    </row>
    <row r="23" spans="1:20" s="74" customFormat="1" ht="45" customHeight="1">
      <c r="A23" s="130">
        <v>68</v>
      </c>
      <c r="B23" s="134"/>
      <c r="C23" s="132">
        <v>45985</v>
      </c>
      <c r="D23" s="120" t="s">
        <v>95</v>
      </c>
      <c r="E23" s="124" t="s">
        <v>574</v>
      </c>
      <c r="F23" s="124" t="s">
        <v>575</v>
      </c>
      <c r="G23" s="135">
        <v>0.78819444444444442</v>
      </c>
      <c r="H23" s="120" t="s">
        <v>69</v>
      </c>
      <c r="I23" s="120" t="s">
        <v>576</v>
      </c>
      <c r="J23" s="122" t="s">
        <v>561</v>
      </c>
      <c r="K23" s="120" t="s">
        <v>558</v>
      </c>
      <c r="L23" s="124" t="s">
        <v>577</v>
      </c>
      <c r="M23" s="126" t="s">
        <v>29</v>
      </c>
      <c r="N23" s="126" t="s">
        <v>29</v>
      </c>
      <c r="O23" s="126" t="s">
        <v>581</v>
      </c>
      <c r="P23" s="126" t="s">
        <v>29</v>
      </c>
      <c r="Q23" s="126" t="s">
        <v>29</v>
      </c>
      <c r="R23" s="56" t="s">
        <v>578</v>
      </c>
      <c r="S23" s="99">
        <v>7</v>
      </c>
      <c r="T23" s="122" t="s">
        <v>29</v>
      </c>
    </row>
    <row r="24" spans="1:20" s="114" customFormat="1" ht="43.2" customHeight="1">
      <c r="A24" s="131"/>
      <c r="B24" s="127"/>
      <c r="C24" s="133"/>
      <c r="D24" s="121"/>
      <c r="E24" s="125"/>
      <c r="F24" s="125"/>
      <c r="G24" s="136"/>
      <c r="H24" s="121"/>
      <c r="I24" s="121"/>
      <c r="J24" s="123"/>
      <c r="K24" s="121"/>
      <c r="L24" s="125"/>
      <c r="M24" s="127"/>
      <c r="N24" s="127"/>
      <c r="O24" s="128"/>
      <c r="P24" s="127"/>
      <c r="Q24" s="127"/>
      <c r="R24" s="42" t="s">
        <v>579</v>
      </c>
      <c r="S24" s="43">
        <v>7000</v>
      </c>
      <c r="T24" s="123"/>
    </row>
    <row r="25" spans="1:20" s="47" customFormat="1" ht="69.599999999999994" customHeight="1">
      <c r="A25" s="115">
        <v>69</v>
      </c>
      <c r="B25" s="116"/>
      <c r="C25" s="117">
        <v>45982</v>
      </c>
      <c r="D25" s="118" t="s">
        <v>596</v>
      </c>
      <c r="E25" s="118" t="s">
        <v>597</v>
      </c>
      <c r="F25" s="115" t="s">
        <v>65</v>
      </c>
      <c r="G25" s="119">
        <v>0.43055555555555558</v>
      </c>
      <c r="H25" s="118" t="s">
        <v>602</v>
      </c>
      <c r="I25" s="118" t="s">
        <v>598</v>
      </c>
      <c r="J25" s="118" t="s">
        <v>599</v>
      </c>
      <c r="K25" s="115" t="s">
        <v>27</v>
      </c>
      <c r="L25" s="115" t="s">
        <v>315</v>
      </c>
      <c r="M25" s="115" t="s">
        <v>29</v>
      </c>
      <c r="N25" s="115" t="s">
        <v>29</v>
      </c>
      <c r="O25" s="115" t="s">
        <v>29</v>
      </c>
      <c r="P25" s="115" t="s">
        <v>29</v>
      </c>
      <c r="Q25" s="115" t="s">
        <v>29</v>
      </c>
      <c r="R25" s="118" t="s">
        <v>600</v>
      </c>
      <c r="S25" s="115" t="s">
        <v>601</v>
      </c>
      <c r="T25" s="115" t="s">
        <v>29</v>
      </c>
    </row>
    <row r="26" spans="1:20" ht="14.25" customHeight="1">
      <c r="A26" s="1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4.25" customHeight="1">
      <c r="A27" s="1">
        <v>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4.25" customHeight="1">
      <c r="A28" s="1">
        <v>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46" customFormat="1" ht="48.6" customHeight="1">
      <c r="A29" s="43">
        <v>73</v>
      </c>
      <c r="B29" s="43"/>
      <c r="C29" s="48">
        <v>45981</v>
      </c>
      <c r="D29" s="43" t="s">
        <v>55</v>
      </c>
      <c r="E29" s="43" t="s">
        <v>622</v>
      </c>
      <c r="F29" s="43" t="s">
        <v>623</v>
      </c>
      <c r="G29" s="86">
        <v>0.44791666666666669</v>
      </c>
      <c r="H29" s="42" t="s">
        <v>624</v>
      </c>
      <c r="I29" s="43" t="s">
        <v>405</v>
      </c>
      <c r="J29" s="43" t="s">
        <v>86</v>
      </c>
      <c r="K29" s="43" t="s">
        <v>27</v>
      </c>
      <c r="L29" s="43" t="s">
        <v>28</v>
      </c>
      <c r="M29" s="43" t="s">
        <v>29</v>
      </c>
      <c r="N29" s="43" t="s">
        <v>29</v>
      </c>
      <c r="O29" s="43" t="s">
        <v>630</v>
      </c>
      <c r="P29" s="43" t="s">
        <v>29</v>
      </c>
      <c r="Q29" s="43" t="s">
        <v>29</v>
      </c>
      <c r="R29" s="43" t="s">
        <v>29</v>
      </c>
      <c r="S29" s="43" t="s">
        <v>631</v>
      </c>
      <c r="T29" s="43" t="s">
        <v>29</v>
      </c>
    </row>
    <row r="30" spans="1:20" s="46" customFormat="1" ht="40.200000000000003" customHeight="1">
      <c r="A30" s="43">
        <v>74</v>
      </c>
      <c r="B30" s="43"/>
      <c r="C30" s="48">
        <v>45978</v>
      </c>
      <c r="D30" s="43" t="s">
        <v>529</v>
      </c>
      <c r="E30" s="43" t="s">
        <v>639</v>
      </c>
      <c r="F30" s="42" t="s">
        <v>638</v>
      </c>
      <c r="G30" s="86">
        <v>0.6875</v>
      </c>
      <c r="H30" s="43" t="s">
        <v>69</v>
      </c>
      <c r="I30" s="43" t="s">
        <v>97</v>
      </c>
      <c r="J30" s="42" t="s">
        <v>640</v>
      </c>
      <c r="K30" s="43" t="s">
        <v>27</v>
      </c>
      <c r="L30" s="43" t="s">
        <v>28</v>
      </c>
      <c r="M30" s="43" t="s">
        <v>29</v>
      </c>
      <c r="N30" s="43" t="s">
        <v>29</v>
      </c>
      <c r="O30" s="43" t="s">
        <v>657</v>
      </c>
      <c r="P30" s="43" t="s">
        <v>29</v>
      </c>
      <c r="Q30" s="43" t="s">
        <v>29</v>
      </c>
      <c r="R30" s="43" t="s">
        <v>658</v>
      </c>
      <c r="S30" s="42" t="s">
        <v>659</v>
      </c>
      <c r="T30" s="43" t="s">
        <v>29</v>
      </c>
    </row>
    <row r="31" spans="1:20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34">
    <mergeCell ref="A1:G1"/>
    <mergeCell ref="H1:N1"/>
    <mergeCell ref="O1:S1"/>
    <mergeCell ref="A6:A7"/>
    <mergeCell ref="C6:C7"/>
    <mergeCell ref="D6:D7"/>
    <mergeCell ref="E6:E7"/>
    <mergeCell ref="F6:F7"/>
    <mergeCell ref="G6:G7"/>
    <mergeCell ref="J9:J11"/>
    <mergeCell ref="A23:A24"/>
    <mergeCell ref="C23:C24"/>
    <mergeCell ref="D23:D24"/>
    <mergeCell ref="B23:B24"/>
    <mergeCell ref="E23:E24"/>
    <mergeCell ref="F23:F24"/>
    <mergeCell ref="G23:G24"/>
    <mergeCell ref="G9:G11"/>
    <mergeCell ref="A9:A11"/>
    <mergeCell ref="C9:C11"/>
    <mergeCell ref="D9:D11"/>
    <mergeCell ref="E9:E11"/>
    <mergeCell ref="F9:F11"/>
    <mergeCell ref="H23:H24"/>
    <mergeCell ref="I23:I24"/>
    <mergeCell ref="J23:J24"/>
    <mergeCell ref="K23:K24"/>
    <mergeCell ref="L23:L24"/>
    <mergeCell ref="T23:T24"/>
    <mergeCell ref="N23:N24"/>
    <mergeCell ref="O23:O24"/>
    <mergeCell ref="P23:P24"/>
    <mergeCell ref="Q23:Q24"/>
    <mergeCell ref="M23:M24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58"/>
  <sheetViews>
    <sheetView zoomScaleNormal="100" workbookViewId="0">
      <pane xSplit="1" ySplit="1" topLeftCell="B157" activePane="bottomRight" state="frozen"/>
      <selection pane="topRight" activeCell="B1" sqref="B1"/>
      <selection pane="bottomLeft" activeCell="A2" sqref="A2"/>
      <selection pane="bottomRight" activeCell="E175" sqref="E175"/>
    </sheetView>
  </sheetViews>
  <sheetFormatPr defaultColWidth="12.6640625" defaultRowHeight="15" customHeight="1"/>
  <cols>
    <col min="1" max="1" width="11.21875" customWidth="1"/>
    <col min="2" max="2" width="15.21875" customWidth="1"/>
    <col min="3" max="3" width="24.5546875" customWidth="1"/>
    <col min="4" max="4" width="10" customWidth="1"/>
    <col min="5" max="5" width="16.77734375" customWidth="1"/>
    <col min="6" max="6" width="14.6640625" customWidth="1"/>
    <col min="7" max="7" width="16.21875" customWidth="1"/>
    <col min="8" max="9" width="13.88671875" customWidth="1"/>
    <col min="10" max="11" width="12.44140625" customWidth="1"/>
    <col min="12" max="13" width="17.33203125" customWidth="1"/>
    <col min="14" max="14" width="12.33203125" customWidth="1"/>
    <col min="15" max="15" width="11.33203125" customWidth="1"/>
    <col min="16" max="16" width="40" customWidth="1"/>
    <col min="17" max="17" width="41.44140625" customWidth="1"/>
    <col min="18" max="21" width="8.6640625" customWidth="1"/>
    <col min="22" max="22" width="11.88671875" customWidth="1"/>
    <col min="23" max="26" width="8.6640625" customWidth="1"/>
  </cols>
  <sheetData>
    <row r="1" spans="1:26" ht="60" customHeight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105</v>
      </c>
      <c r="J1" s="2" t="s">
        <v>107</v>
      </c>
      <c r="K1" s="2" t="s">
        <v>108</v>
      </c>
      <c r="L1" s="2" t="s">
        <v>109</v>
      </c>
      <c r="M1" s="2" t="s">
        <v>105</v>
      </c>
      <c r="N1" s="2" t="s">
        <v>110</v>
      </c>
      <c r="O1" s="2" t="s">
        <v>111</v>
      </c>
      <c r="P1" s="32" t="s">
        <v>112</v>
      </c>
      <c r="Q1" s="2" t="s">
        <v>113</v>
      </c>
      <c r="R1" s="7"/>
      <c r="S1" s="7" t="s">
        <v>114</v>
      </c>
      <c r="T1" s="7" t="s">
        <v>115</v>
      </c>
      <c r="V1" s="7" t="s">
        <v>114</v>
      </c>
      <c r="W1" s="7" t="s">
        <v>115</v>
      </c>
    </row>
    <row r="2" spans="1:26" s="47" customFormat="1" ht="13.8" customHeight="1">
      <c r="A2" s="43">
        <v>51</v>
      </c>
      <c r="B2" s="41" t="s">
        <v>69</v>
      </c>
      <c r="C2" s="43" t="s">
        <v>116</v>
      </c>
      <c r="D2" s="41" t="s">
        <v>28</v>
      </c>
      <c r="E2" s="41" t="s">
        <v>117</v>
      </c>
      <c r="F2" s="43" t="s">
        <v>29</v>
      </c>
      <c r="G2" s="43" t="s">
        <v>26</v>
      </c>
      <c r="H2" s="43">
        <f>200*60</f>
        <v>12000</v>
      </c>
      <c r="I2" s="43" t="s">
        <v>26</v>
      </c>
      <c r="J2" s="51">
        <f>700/60</f>
        <v>11.666666666666666</v>
      </c>
      <c r="K2" s="43">
        <f>1200/60</f>
        <v>20</v>
      </c>
      <c r="L2" s="43" t="s">
        <v>29</v>
      </c>
      <c r="M2" s="43" t="s">
        <v>26</v>
      </c>
      <c r="N2" s="43" t="s">
        <v>29</v>
      </c>
      <c r="O2" s="43" t="s">
        <v>29</v>
      </c>
      <c r="P2" s="43" t="s">
        <v>118</v>
      </c>
      <c r="Q2" s="43" t="s">
        <v>119</v>
      </c>
      <c r="R2" s="46"/>
      <c r="S2" s="46">
        <f>(AVERAGE(J2:K2))/60</f>
        <v>0.2638888888888889</v>
      </c>
      <c r="T2" s="46">
        <f t="shared" ref="T2:T4" si="0">S2*H2</f>
        <v>3166.6666666666665</v>
      </c>
      <c r="U2" s="46"/>
      <c r="V2" s="46" t="e">
        <f t="shared" ref="V2:V4" si="1">AVERAGE(N2:O2)</f>
        <v>#DIV/0!</v>
      </c>
      <c r="W2" s="46" t="e">
        <f t="shared" ref="W2:W4" si="2">V2*L2</f>
        <v>#DIV/0!</v>
      </c>
      <c r="X2" s="46"/>
      <c r="Y2" s="46"/>
      <c r="Z2" s="46"/>
    </row>
    <row r="3" spans="1:26" s="47" customFormat="1" ht="14.25" customHeight="1">
      <c r="A3" s="43">
        <v>51</v>
      </c>
      <c r="B3" s="41" t="s">
        <v>67</v>
      </c>
      <c r="C3" s="43" t="s">
        <v>116</v>
      </c>
      <c r="D3" s="41" t="s">
        <v>28</v>
      </c>
      <c r="E3" s="41" t="s">
        <v>117</v>
      </c>
      <c r="F3" s="43" t="s">
        <v>29</v>
      </c>
      <c r="G3" s="43" t="s">
        <v>26</v>
      </c>
      <c r="H3" s="43">
        <v>30</v>
      </c>
      <c r="I3" s="43" t="s">
        <v>26</v>
      </c>
      <c r="J3" s="43">
        <v>100</v>
      </c>
      <c r="K3" s="43">
        <v>150</v>
      </c>
      <c r="L3" s="43" t="s">
        <v>29</v>
      </c>
      <c r="M3" s="43" t="s">
        <v>26</v>
      </c>
      <c r="N3" s="43" t="s">
        <v>29</v>
      </c>
      <c r="O3" s="43" t="s">
        <v>29</v>
      </c>
      <c r="P3" s="41" t="s">
        <v>120</v>
      </c>
      <c r="Q3" s="43" t="s">
        <v>121</v>
      </c>
      <c r="R3" s="46"/>
      <c r="S3" s="46">
        <f>(AVERAGE(J3:K3))</f>
        <v>125</v>
      </c>
      <c r="T3" s="46">
        <f t="shared" si="0"/>
        <v>3750</v>
      </c>
      <c r="U3" s="46"/>
      <c r="V3" s="46" t="e">
        <f t="shared" si="1"/>
        <v>#DIV/0!</v>
      </c>
      <c r="W3" s="46" t="e">
        <f t="shared" si="2"/>
        <v>#DIV/0!</v>
      </c>
      <c r="X3" s="46"/>
      <c r="Y3" s="46"/>
      <c r="Z3" s="46"/>
    </row>
    <row r="4" spans="1:26" s="47" customFormat="1" ht="25.2" customHeight="1">
      <c r="A4" s="43">
        <v>52</v>
      </c>
      <c r="B4" s="43" t="s">
        <v>69</v>
      </c>
      <c r="C4" s="42" t="s">
        <v>523</v>
      </c>
      <c r="D4" s="41" t="s">
        <v>28</v>
      </c>
      <c r="E4" s="43" t="s">
        <v>122</v>
      </c>
      <c r="F4" s="43" t="s">
        <v>29</v>
      </c>
      <c r="G4" s="43" t="s">
        <v>26</v>
      </c>
      <c r="H4" s="43">
        <f>1200*70</f>
        <v>84000</v>
      </c>
      <c r="I4" s="43" t="s">
        <v>26</v>
      </c>
      <c r="J4" s="51">
        <f>300/70</f>
        <v>4.2857142857142856</v>
      </c>
      <c r="K4" s="51">
        <f>450/70</f>
        <v>6.4285714285714288</v>
      </c>
      <c r="L4" s="43" t="s">
        <v>29</v>
      </c>
      <c r="M4" s="43" t="s">
        <v>26</v>
      </c>
      <c r="N4" s="43" t="s">
        <v>29</v>
      </c>
      <c r="O4" s="43" t="s">
        <v>29</v>
      </c>
      <c r="P4" s="43" t="s">
        <v>524</v>
      </c>
      <c r="Q4" s="43" t="s">
        <v>123</v>
      </c>
      <c r="R4" s="46"/>
      <c r="S4" s="46">
        <f>(AVERAGE(J4:K4))/60</f>
        <v>8.9285714285714288E-2</v>
      </c>
      <c r="T4" s="46">
        <f t="shared" si="0"/>
        <v>7500</v>
      </c>
      <c r="U4" s="46"/>
      <c r="V4" s="46" t="e">
        <f t="shared" si="1"/>
        <v>#DIV/0!</v>
      </c>
      <c r="W4" s="46" t="e">
        <f t="shared" si="2"/>
        <v>#DIV/0!</v>
      </c>
      <c r="X4" s="46"/>
      <c r="Y4" s="46"/>
      <c r="Z4" s="46"/>
    </row>
    <row r="5" spans="1:26" s="47" customFormat="1" ht="14.25" customHeight="1">
      <c r="A5" s="43">
        <v>52</v>
      </c>
      <c r="B5" s="43" t="s">
        <v>124</v>
      </c>
      <c r="C5" s="43" t="s">
        <v>125</v>
      </c>
      <c r="D5" s="41" t="s">
        <v>28</v>
      </c>
      <c r="E5" s="43" t="s">
        <v>122</v>
      </c>
      <c r="F5" s="43" t="s">
        <v>29</v>
      </c>
      <c r="G5" s="43" t="s">
        <v>26</v>
      </c>
      <c r="H5" s="43" t="s">
        <v>29</v>
      </c>
      <c r="I5" s="43" t="s">
        <v>29</v>
      </c>
      <c r="J5" s="43" t="s">
        <v>29</v>
      </c>
      <c r="K5" s="43" t="s">
        <v>29</v>
      </c>
      <c r="L5" s="43">
        <v>500</v>
      </c>
      <c r="M5" s="43" t="s">
        <v>26</v>
      </c>
      <c r="N5" s="43">
        <f>140/20</f>
        <v>7</v>
      </c>
      <c r="O5" s="43" t="s">
        <v>29</v>
      </c>
      <c r="P5" s="43" t="s">
        <v>126</v>
      </c>
      <c r="Q5" s="43" t="s">
        <v>526</v>
      </c>
      <c r="R5" s="46"/>
      <c r="S5" s="46"/>
      <c r="T5" s="46"/>
      <c r="U5" s="46"/>
      <c r="V5" s="46">
        <f t="shared" ref="V5:V36" si="3">AVERAGE(N5:O5)</f>
        <v>7</v>
      </c>
      <c r="W5" s="46">
        <f t="shared" ref="W5:W36" si="4">V5*L5</f>
        <v>3500</v>
      </c>
      <c r="X5" s="46"/>
      <c r="Y5" s="46"/>
      <c r="Z5" s="46"/>
    </row>
    <row r="6" spans="1:26" s="47" customFormat="1" ht="14.25" customHeight="1">
      <c r="A6" s="41">
        <v>53</v>
      </c>
      <c r="B6" s="41" t="s">
        <v>69</v>
      </c>
      <c r="C6" s="41" t="s">
        <v>127</v>
      </c>
      <c r="D6" s="41" t="s">
        <v>28</v>
      </c>
      <c r="E6" s="41" t="s">
        <v>117</v>
      </c>
      <c r="F6" s="53" t="s">
        <v>29</v>
      </c>
      <c r="G6" s="43" t="s">
        <v>26</v>
      </c>
      <c r="H6" s="8">
        <f>150*55</f>
        <v>8250</v>
      </c>
      <c r="I6" s="8" t="s">
        <v>26</v>
      </c>
      <c r="J6" s="9">
        <f>250/55</f>
        <v>4.5454545454545459</v>
      </c>
      <c r="K6" s="9">
        <f>300/55</f>
        <v>5.4545454545454541</v>
      </c>
      <c r="L6" s="53" t="s">
        <v>29</v>
      </c>
      <c r="M6" s="43" t="s">
        <v>26</v>
      </c>
      <c r="N6" s="53" t="s">
        <v>29</v>
      </c>
      <c r="O6" s="53" t="s">
        <v>29</v>
      </c>
      <c r="P6" s="41" t="s">
        <v>128</v>
      </c>
      <c r="Q6" s="41" t="s">
        <v>129</v>
      </c>
      <c r="R6" s="46"/>
      <c r="S6" s="46">
        <f>(AVERAGE(J6:K6))/60</f>
        <v>8.3333333333333329E-2</v>
      </c>
      <c r="T6" s="46">
        <f t="shared" ref="T6:T11" si="5">S6*H6</f>
        <v>687.5</v>
      </c>
      <c r="U6" s="46"/>
      <c r="V6" s="46" t="e">
        <f t="shared" si="3"/>
        <v>#DIV/0!</v>
      </c>
      <c r="W6" s="46" t="e">
        <f t="shared" si="4"/>
        <v>#DIV/0!</v>
      </c>
      <c r="X6" s="46"/>
      <c r="Y6" s="46"/>
      <c r="Z6" s="46"/>
    </row>
    <row r="7" spans="1:26" s="47" customFormat="1" ht="14.25" customHeight="1">
      <c r="A7" s="41">
        <v>53</v>
      </c>
      <c r="B7" s="41" t="s">
        <v>69</v>
      </c>
      <c r="C7" s="41" t="s">
        <v>130</v>
      </c>
      <c r="D7" s="41" t="s">
        <v>131</v>
      </c>
      <c r="E7" s="41" t="s">
        <v>117</v>
      </c>
      <c r="F7" s="8">
        <f>500*55</f>
        <v>27500</v>
      </c>
      <c r="G7" s="43" t="s">
        <v>26</v>
      </c>
      <c r="H7" s="8">
        <f>500*55</f>
        <v>27500</v>
      </c>
      <c r="I7" s="8" t="s">
        <v>26</v>
      </c>
      <c r="J7" s="9">
        <f>250/55</f>
        <v>4.5454545454545459</v>
      </c>
      <c r="K7" s="9">
        <f>300/55</f>
        <v>5.4545454545454541</v>
      </c>
      <c r="L7" s="53" t="s">
        <v>29</v>
      </c>
      <c r="M7" s="43" t="s">
        <v>26</v>
      </c>
      <c r="N7" s="53" t="s">
        <v>29</v>
      </c>
      <c r="O7" s="53" t="s">
        <v>29</v>
      </c>
      <c r="P7" s="41" t="s">
        <v>128</v>
      </c>
      <c r="Q7" s="41" t="s">
        <v>132</v>
      </c>
      <c r="R7" s="46"/>
      <c r="S7" s="46">
        <f>(AVERAGE(J7:K7))/60</f>
        <v>8.3333333333333329E-2</v>
      </c>
      <c r="T7" s="46">
        <f t="shared" si="5"/>
        <v>2291.6666666666665</v>
      </c>
      <c r="U7" s="46"/>
      <c r="V7" s="46" t="e">
        <f t="shared" si="3"/>
        <v>#DIV/0!</v>
      </c>
      <c r="W7" s="46" t="e">
        <f t="shared" si="4"/>
        <v>#DIV/0!</v>
      </c>
      <c r="X7" s="46"/>
      <c r="Y7" s="46"/>
      <c r="Z7" s="46"/>
    </row>
    <row r="8" spans="1:26" s="47" customFormat="1" ht="14.25" customHeight="1">
      <c r="A8" s="41">
        <v>53</v>
      </c>
      <c r="B8" s="41" t="s">
        <v>69</v>
      </c>
      <c r="C8" s="41" t="s">
        <v>133</v>
      </c>
      <c r="D8" s="41" t="s">
        <v>28</v>
      </c>
      <c r="E8" s="41" t="s">
        <v>117</v>
      </c>
      <c r="F8" s="54" t="s">
        <v>29</v>
      </c>
      <c r="G8" s="43" t="s">
        <v>26</v>
      </c>
      <c r="H8" s="8">
        <f>400*55</f>
        <v>22000</v>
      </c>
      <c r="I8" s="8" t="s">
        <v>26</v>
      </c>
      <c r="J8" s="9">
        <f>250/55</f>
        <v>4.5454545454545459</v>
      </c>
      <c r="K8" s="9">
        <f>300/55</f>
        <v>5.4545454545454541</v>
      </c>
      <c r="L8" s="53" t="s">
        <v>29</v>
      </c>
      <c r="M8" s="43" t="s">
        <v>26</v>
      </c>
      <c r="N8" s="53" t="s">
        <v>29</v>
      </c>
      <c r="O8" s="53" t="s">
        <v>29</v>
      </c>
      <c r="P8" s="41" t="s">
        <v>128</v>
      </c>
      <c r="Q8" s="41" t="s">
        <v>134</v>
      </c>
      <c r="R8" s="46"/>
      <c r="S8" s="46">
        <f>(AVERAGE(J8:K8))/60</f>
        <v>8.3333333333333329E-2</v>
      </c>
      <c r="T8" s="46">
        <f t="shared" si="5"/>
        <v>1833.3333333333333</v>
      </c>
      <c r="U8" s="46"/>
      <c r="V8" s="46" t="e">
        <f t="shared" si="3"/>
        <v>#DIV/0!</v>
      </c>
      <c r="W8" s="46" t="e">
        <f t="shared" si="4"/>
        <v>#DIV/0!</v>
      </c>
      <c r="X8" s="46"/>
      <c r="Y8" s="46"/>
      <c r="Z8" s="46"/>
    </row>
    <row r="9" spans="1:26" s="47" customFormat="1" ht="14.25" customHeight="1">
      <c r="A9" s="41">
        <v>53</v>
      </c>
      <c r="B9" s="41" t="s">
        <v>69</v>
      </c>
      <c r="C9" s="41" t="s">
        <v>135</v>
      </c>
      <c r="D9" s="41" t="s">
        <v>131</v>
      </c>
      <c r="E9" s="41" t="s">
        <v>117</v>
      </c>
      <c r="F9" s="8">
        <f>450*55</f>
        <v>24750</v>
      </c>
      <c r="G9" s="43" t="s">
        <v>26</v>
      </c>
      <c r="H9" s="8">
        <f>450*55</f>
        <v>24750</v>
      </c>
      <c r="I9" s="8" t="s">
        <v>26</v>
      </c>
      <c r="J9" s="9">
        <f>250/55</f>
        <v>4.5454545454545459</v>
      </c>
      <c r="K9" s="9">
        <f>300/55</f>
        <v>5.4545454545454541</v>
      </c>
      <c r="L9" s="53" t="s">
        <v>29</v>
      </c>
      <c r="M9" s="43" t="s">
        <v>26</v>
      </c>
      <c r="N9" s="53" t="s">
        <v>29</v>
      </c>
      <c r="O9" s="53" t="s">
        <v>29</v>
      </c>
      <c r="P9" s="41" t="s">
        <v>128</v>
      </c>
      <c r="Q9" s="41" t="s">
        <v>136</v>
      </c>
      <c r="R9" s="46"/>
      <c r="S9" s="46">
        <f>(AVERAGE(J9:K9))/60</f>
        <v>8.3333333333333329E-2</v>
      </c>
      <c r="T9" s="46">
        <f t="shared" si="5"/>
        <v>2062.5</v>
      </c>
      <c r="U9" s="46"/>
      <c r="V9" s="46" t="e">
        <f t="shared" si="3"/>
        <v>#DIV/0!</v>
      </c>
      <c r="W9" s="46" t="e">
        <f t="shared" si="4"/>
        <v>#DIV/0!</v>
      </c>
      <c r="X9" s="46"/>
      <c r="Y9" s="46"/>
      <c r="Z9" s="46"/>
    </row>
    <row r="10" spans="1:26" s="47" customFormat="1" ht="14.25" customHeight="1">
      <c r="A10" s="41">
        <v>53</v>
      </c>
      <c r="B10" s="41" t="s">
        <v>69</v>
      </c>
      <c r="C10" s="41" t="s">
        <v>137</v>
      </c>
      <c r="D10" s="41" t="s">
        <v>131</v>
      </c>
      <c r="E10" s="41" t="s">
        <v>117</v>
      </c>
      <c r="F10" s="8">
        <f>150*55</f>
        <v>8250</v>
      </c>
      <c r="G10" s="43" t="s">
        <v>26</v>
      </c>
      <c r="H10" s="8">
        <f>150*55</f>
        <v>8250</v>
      </c>
      <c r="I10" s="8" t="s">
        <v>26</v>
      </c>
      <c r="J10" s="9">
        <f>250/55</f>
        <v>4.5454545454545459</v>
      </c>
      <c r="K10" s="9">
        <f>300/55</f>
        <v>5.4545454545454541</v>
      </c>
      <c r="L10" s="53" t="s">
        <v>29</v>
      </c>
      <c r="M10" s="43" t="s">
        <v>26</v>
      </c>
      <c r="N10" s="53" t="s">
        <v>29</v>
      </c>
      <c r="O10" s="53" t="s">
        <v>29</v>
      </c>
      <c r="P10" s="41" t="s">
        <v>128</v>
      </c>
      <c r="Q10" s="41" t="s">
        <v>138</v>
      </c>
      <c r="R10" s="46"/>
      <c r="S10" s="46">
        <f>(AVERAGE(J10:K10))/60</f>
        <v>8.3333333333333329E-2</v>
      </c>
      <c r="T10" s="46">
        <f t="shared" si="5"/>
        <v>687.5</v>
      </c>
      <c r="U10" s="46"/>
      <c r="V10" s="46" t="e">
        <f t="shared" si="3"/>
        <v>#DIV/0!</v>
      </c>
      <c r="W10" s="46" t="e">
        <f t="shared" si="4"/>
        <v>#DIV/0!</v>
      </c>
      <c r="X10" s="46"/>
      <c r="Y10" s="46"/>
      <c r="Z10" s="46"/>
    </row>
    <row r="11" spans="1:26" s="47" customFormat="1" ht="14.25" customHeight="1">
      <c r="A11" s="41">
        <v>53</v>
      </c>
      <c r="B11" s="41" t="s">
        <v>67</v>
      </c>
      <c r="C11" s="55" t="s">
        <v>139</v>
      </c>
      <c r="D11" s="41" t="s">
        <v>131</v>
      </c>
      <c r="E11" s="41" t="s">
        <v>117</v>
      </c>
      <c r="F11" s="8">
        <v>50</v>
      </c>
      <c r="G11" s="43" t="s">
        <v>26</v>
      </c>
      <c r="H11" s="8">
        <v>50</v>
      </c>
      <c r="I11" s="8" t="s">
        <v>26</v>
      </c>
      <c r="J11" s="8">
        <v>120</v>
      </c>
      <c r="K11" s="8">
        <v>120</v>
      </c>
      <c r="L11" s="8">
        <v>50</v>
      </c>
      <c r="M11" s="8" t="s">
        <v>26</v>
      </c>
      <c r="N11" s="8">
        <v>120</v>
      </c>
      <c r="O11" s="8">
        <v>120</v>
      </c>
      <c r="P11" s="41" t="s">
        <v>128</v>
      </c>
      <c r="Q11" s="41" t="s">
        <v>140</v>
      </c>
      <c r="R11" s="46"/>
      <c r="S11" s="46">
        <f>(AVERAGE(J11:K11))</f>
        <v>120</v>
      </c>
      <c r="T11" s="46">
        <f t="shared" si="5"/>
        <v>6000</v>
      </c>
      <c r="U11" s="46"/>
      <c r="V11" s="46">
        <f t="shared" si="3"/>
        <v>120</v>
      </c>
      <c r="W11" s="46">
        <f t="shared" si="4"/>
        <v>6000</v>
      </c>
      <c r="X11" s="46"/>
      <c r="Y11" s="46"/>
      <c r="Z11" s="46"/>
    </row>
    <row r="12" spans="1:26" s="47" customFormat="1" ht="14.25" customHeight="1">
      <c r="A12" s="41">
        <v>53</v>
      </c>
      <c r="B12" s="41" t="s">
        <v>141</v>
      </c>
      <c r="C12" s="41" t="s">
        <v>142</v>
      </c>
      <c r="D12" s="41" t="s">
        <v>131</v>
      </c>
      <c r="E12" s="41" t="s">
        <v>117</v>
      </c>
      <c r="F12" s="54" t="s">
        <v>29</v>
      </c>
      <c r="G12" s="53" t="s">
        <v>143</v>
      </c>
      <c r="H12" s="54" t="s">
        <v>29</v>
      </c>
      <c r="I12" s="54" t="s">
        <v>29</v>
      </c>
      <c r="J12" s="54" t="s">
        <v>29</v>
      </c>
      <c r="K12" s="54" t="s">
        <v>29</v>
      </c>
      <c r="L12" s="8">
        <v>100</v>
      </c>
      <c r="M12" s="8" t="s">
        <v>143</v>
      </c>
      <c r="N12" s="8">
        <v>50</v>
      </c>
      <c r="O12" s="8">
        <v>50</v>
      </c>
      <c r="P12" s="53" t="s">
        <v>29</v>
      </c>
      <c r="Q12" s="41" t="s">
        <v>140</v>
      </c>
      <c r="R12" s="46"/>
      <c r="S12" s="46"/>
      <c r="T12" s="46"/>
      <c r="U12" s="46"/>
      <c r="V12" s="46">
        <f t="shared" si="3"/>
        <v>50</v>
      </c>
      <c r="W12" s="46">
        <f t="shared" si="4"/>
        <v>5000</v>
      </c>
      <c r="X12" s="46"/>
      <c r="Y12" s="46"/>
      <c r="Z12" s="46"/>
    </row>
    <row r="13" spans="1:26" s="47" customFormat="1" ht="13.8" customHeight="1">
      <c r="A13" s="41">
        <v>53</v>
      </c>
      <c r="B13" s="41" t="s">
        <v>144</v>
      </c>
      <c r="C13" s="41" t="s">
        <v>142</v>
      </c>
      <c r="D13" s="41" t="s">
        <v>131</v>
      </c>
      <c r="E13" s="41" t="s">
        <v>117</v>
      </c>
      <c r="F13" s="54" t="s">
        <v>29</v>
      </c>
      <c r="G13" s="53" t="s">
        <v>143</v>
      </c>
      <c r="H13" s="54" t="s">
        <v>29</v>
      </c>
      <c r="I13" s="54" t="s">
        <v>29</v>
      </c>
      <c r="J13" s="54" t="s">
        <v>29</v>
      </c>
      <c r="K13" s="54" t="s">
        <v>29</v>
      </c>
      <c r="L13" s="8">
        <v>35</v>
      </c>
      <c r="M13" s="8" t="s">
        <v>143</v>
      </c>
      <c r="N13" s="8">
        <v>100</v>
      </c>
      <c r="O13" s="8">
        <v>100</v>
      </c>
      <c r="P13" s="53" t="s">
        <v>29</v>
      </c>
      <c r="Q13" s="41" t="s">
        <v>140</v>
      </c>
      <c r="R13" s="46"/>
      <c r="S13" s="46"/>
      <c r="T13" s="46"/>
      <c r="U13" s="46"/>
      <c r="V13" s="46">
        <f t="shared" si="3"/>
        <v>100</v>
      </c>
      <c r="W13" s="46">
        <f t="shared" si="4"/>
        <v>3500</v>
      </c>
      <c r="X13" s="46"/>
      <c r="Y13" s="46"/>
      <c r="Z13" s="46"/>
    </row>
    <row r="14" spans="1:26" s="47" customFormat="1" ht="14.25" customHeight="1">
      <c r="A14" s="43">
        <v>54</v>
      </c>
      <c r="B14" s="43" t="s">
        <v>69</v>
      </c>
      <c r="C14" s="42" t="s">
        <v>145</v>
      </c>
      <c r="D14" s="43" t="s">
        <v>131</v>
      </c>
      <c r="E14" s="43" t="s">
        <v>122</v>
      </c>
      <c r="F14" s="56">
        <f>100*60</f>
        <v>6000</v>
      </c>
      <c r="G14" s="43" t="s">
        <v>26</v>
      </c>
      <c r="H14" s="56">
        <f>100*60</f>
        <v>6000</v>
      </c>
      <c r="I14" s="56" t="s">
        <v>26</v>
      </c>
      <c r="J14" s="57">
        <f>250/60</f>
        <v>4.166666666666667</v>
      </c>
      <c r="K14" s="57">
        <f>320/60</f>
        <v>5.333333333333333</v>
      </c>
      <c r="L14" s="43" t="s">
        <v>29</v>
      </c>
      <c r="M14" s="43" t="s">
        <v>26</v>
      </c>
      <c r="N14" s="43" t="s">
        <v>29</v>
      </c>
      <c r="O14" s="43" t="s">
        <v>29</v>
      </c>
      <c r="P14" s="43" t="s">
        <v>29</v>
      </c>
      <c r="Q14" s="42" t="s">
        <v>146</v>
      </c>
      <c r="R14" s="46"/>
      <c r="S14" s="46">
        <f>(AVERAGE(J14:K14))/60</f>
        <v>7.9166666666666663E-2</v>
      </c>
      <c r="T14" s="46">
        <f t="shared" ref="T14:T45" si="6">S14*H14</f>
        <v>475</v>
      </c>
      <c r="U14" s="46"/>
      <c r="V14" s="46" t="e">
        <f t="shared" si="3"/>
        <v>#DIV/0!</v>
      </c>
      <c r="W14" s="46" t="e">
        <f t="shared" si="4"/>
        <v>#DIV/0!</v>
      </c>
      <c r="X14" s="46"/>
      <c r="Y14" s="46"/>
      <c r="Z14" s="46"/>
    </row>
    <row r="15" spans="1:26" s="47" customFormat="1" ht="14.25" customHeight="1">
      <c r="A15" s="43">
        <v>54</v>
      </c>
      <c r="B15" s="43" t="s">
        <v>67</v>
      </c>
      <c r="C15" s="42" t="s">
        <v>145</v>
      </c>
      <c r="D15" s="43" t="s">
        <v>131</v>
      </c>
      <c r="E15" s="43" t="s">
        <v>122</v>
      </c>
      <c r="F15" s="56">
        <v>500</v>
      </c>
      <c r="G15" s="43" t="s">
        <v>26</v>
      </c>
      <c r="H15" s="56">
        <v>500</v>
      </c>
      <c r="I15" s="56" t="s">
        <v>26</v>
      </c>
      <c r="J15" s="56">
        <v>35</v>
      </c>
      <c r="K15" s="56">
        <v>80</v>
      </c>
      <c r="L15" s="43" t="s">
        <v>29</v>
      </c>
      <c r="M15" s="43" t="s">
        <v>26</v>
      </c>
      <c r="N15" s="43">
        <v>35</v>
      </c>
      <c r="O15" s="43">
        <v>80</v>
      </c>
      <c r="P15" s="43" t="s">
        <v>29</v>
      </c>
      <c r="Q15" s="42" t="s">
        <v>147</v>
      </c>
      <c r="R15" s="46"/>
      <c r="S15" s="46">
        <f>(AVERAGE(J15:K15))</f>
        <v>57.5</v>
      </c>
      <c r="T15" s="46">
        <f t="shared" si="6"/>
        <v>28750</v>
      </c>
      <c r="U15" s="46"/>
      <c r="V15" s="46">
        <f t="shared" si="3"/>
        <v>57.5</v>
      </c>
      <c r="W15" s="46" t="e">
        <f t="shared" si="4"/>
        <v>#VALUE!</v>
      </c>
      <c r="X15" s="46"/>
      <c r="Y15" s="46"/>
      <c r="Z15" s="46"/>
    </row>
    <row r="16" spans="1:26" s="47" customFormat="1" ht="14.25" customHeight="1">
      <c r="A16" s="43">
        <v>55</v>
      </c>
      <c r="B16" s="43" t="s">
        <v>69</v>
      </c>
      <c r="C16" s="42" t="s">
        <v>148</v>
      </c>
      <c r="D16" s="43" t="s">
        <v>131</v>
      </c>
      <c r="E16" s="43" t="s">
        <v>29</v>
      </c>
      <c r="F16" s="43" t="s">
        <v>29</v>
      </c>
      <c r="G16" s="43" t="s">
        <v>26</v>
      </c>
      <c r="H16" s="56">
        <f>130*60</f>
        <v>7800</v>
      </c>
      <c r="I16" s="56" t="s">
        <v>26</v>
      </c>
      <c r="J16" s="56">
        <f t="shared" ref="J16:J28" si="7">210/60</f>
        <v>3.5</v>
      </c>
      <c r="K16" s="56">
        <f t="shared" ref="K16:K27" si="8">300/60</f>
        <v>5</v>
      </c>
      <c r="L16" s="43" t="s">
        <v>29</v>
      </c>
      <c r="M16" s="43" t="s">
        <v>26</v>
      </c>
      <c r="N16" s="43" t="s">
        <v>29</v>
      </c>
      <c r="O16" s="43" t="s">
        <v>29</v>
      </c>
      <c r="P16" s="43" t="s">
        <v>149</v>
      </c>
      <c r="Q16" s="42" t="s">
        <v>150</v>
      </c>
      <c r="R16" s="46"/>
      <c r="S16" s="46">
        <f t="shared" ref="S16:S28" si="9">(AVERAGE(J16:K16))/60</f>
        <v>7.0833333333333331E-2</v>
      </c>
      <c r="T16" s="46">
        <f t="shared" si="6"/>
        <v>552.5</v>
      </c>
      <c r="U16" s="46"/>
      <c r="V16" s="46" t="e">
        <f t="shared" si="3"/>
        <v>#DIV/0!</v>
      </c>
      <c r="W16" s="46" t="e">
        <f t="shared" si="4"/>
        <v>#DIV/0!</v>
      </c>
      <c r="X16" s="46"/>
      <c r="Y16" s="46"/>
      <c r="Z16" s="46"/>
    </row>
    <row r="17" spans="1:26" s="47" customFormat="1" ht="30.75" customHeight="1">
      <c r="A17" s="43">
        <v>55</v>
      </c>
      <c r="B17" s="43" t="s">
        <v>69</v>
      </c>
      <c r="C17" s="42" t="s">
        <v>151</v>
      </c>
      <c r="D17" s="43" t="s">
        <v>131</v>
      </c>
      <c r="E17" s="43" t="s">
        <v>29</v>
      </c>
      <c r="F17" s="43" t="s">
        <v>29</v>
      </c>
      <c r="G17" s="43" t="s">
        <v>26</v>
      </c>
      <c r="H17" s="56">
        <f t="shared" ref="H17" si="10">80*60</f>
        <v>4800</v>
      </c>
      <c r="I17" s="56" t="s">
        <v>26</v>
      </c>
      <c r="J17" s="56">
        <f t="shared" si="7"/>
        <v>3.5</v>
      </c>
      <c r="K17" s="56">
        <f t="shared" si="8"/>
        <v>5</v>
      </c>
      <c r="L17" s="43" t="s">
        <v>29</v>
      </c>
      <c r="M17" s="43" t="s">
        <v>26</v>
      </c>
      <c r="N17" s="43" t="s">
        <v>29</v>
      </c>
      <c r="O17" s="43" t="s">
        <v>29</v>
      </c>
      <c r="P17" s="43" t="s">
        <v>152</v>
      </c>
      <c r="Q17" s="42" t="s">
        <v>153</v>
      </c>
      <c r="R17" s="46"/>
      <c r="S17" s="46">
        <f t="shared" si="9"/>
        <v>7.0833333333333331E-2</v>
      </c>
      <c r="T17" s="46">
        <f t="shared" si="6"/>
        <v>340</v>
      </c>
      <c r="U17" s="46"/>
      <c r="V17" s="46" t="e">
        <f t="shared" si="3"/>
        <v>#DIV/0!</v>
      </c>
      <c r="W17" s="46" t="e">
        <f t="shared" si="4"/>
        <v>#DIV/0!</v>
      </c>
      <c r="X17" s="46"/>
      <c r="Y17" s="46"/>
      <c r="Z17" s="46"/>
    </row>
    <row r="18" spans="1:26" s="47" customFormat="1" ht="14.25" customHeight="1">
      <c r="A18" s="43">
        <v>55</v>
      </c>
      <c r="B18" s="43" t="s">
        <v>69</v>
      </c>
      <c r="C18" s="42" t="s">
        <v>154</v>
      </c>
      <c r="D18" s="43" t="s">
        <v>28</v>
      </c>
      <c r="E18" s="43" t="s">
        <v>29</v>
      </c>
      <c r="F18" s="43" t="s">
        <v>29</v>
      </c>
      <c r="G18" s="43" t="s">
        <v>26</v>
      </c>
      <c r="H18" s="56">
        <f>80*60</f>
        <v>4800</v>
      </c>
      <c r="I18" s="56" t="s">
        <v>26</v>
      </c>
      <c r="J18" s="56">
        <f t="shared" si="7"/>
        <v>3.5</v>
      </c>
      <c r="K18" s="56">
        <f t="shared" si="8"/>
        <v>5</v>
      </c>
      <c r="L18" s="43" t="s">
        <v>29</v>
      </c>
      <c r="M18" s="43" t="s">
        <v>26</v>
      </c>
      <c r="N18" s="43" t="s">
        <v>29</v>
      </c>
      <c r="O18" s="43" t="s">
        <v>29</v>
      </c>
      <c r="P18" s="43" t="s">
        <v>152</v>
      </c>
      <c r="Q18" s="42" t="s">
        <v>155</v>
      </c>
      <c r="R18" s="46"/>
      <c r="S18" s="46">
        <f t="shared" si="9"/>
        <v>7.0833333333333331E-2</v>
      </c>
      <c r="T18" s="46">
        <f t="shared" si="6"/>
        <v>340</v>
      </c>
      <c r="U18" s="46"/>
      <c r="V18" s="46" t="e">
        <f t="shared" si="3"/>
        <v>#DIV/0!</v>
      </c>
      <c r="W18" s="46" t="e">
        <f t="shared" si="4"/>
        <v>#DIV/0!</v>
      </c>
      <c r="X18" s="46"/>
      <c r="Y18" s="46"/>
      <c r="Z18" s="46"/>
    </row>
    <row r="19" spans="1:26" s="47" customFormat="1" ht="14.25" customHeight="1">
      <c r="A19" s="43">
        <v>55</v>
      </c>
      <c r="B19" s="43" t="s">
        <v>69</v>
      </c>
      <c r="C19" s="42" t="s">
        <v>156</v>
      </c>
      <c r="D19" s="43" t="s">
        <v>28</v>
      </c>
      <c r="E19" s="43" t="s">
        <v>29</v>
      </c>
      <c r="F19" s="43" t="s">
        <v>29</v>
      </c>
      <c r="G19" s="43" t="s">
        <v>26</v>
      </c>
      <c r="H19" s="56">
        <f>60*60</f>
        <v>3600</v>
      </c>
      <c r="I19" s="56" t="s">
        <v>26</v>
      </c>
      <c r="J19" s="56">
        <f t="shared" si="7"/>
        <v>3.5</v>
      </c>
      <c r="K19" s="56">
        <f t="shared" si="8"/>
        <v>5</v>
      </c>
      <c r="L19" s="43" t="s">
        <v>29</v>
      </c>
      <c r="M19" s="43" t="s">
        <v>26</v>
      </c>
      <c r="N19" s="43" t="s">
        <v>29</v>
      </c>
      <c r="O19" s="43" t="s">
        <v>29</v>
      </c>
      <c r="P19" s="43" t="s">
        <v>152</v>
      </c>
      <c r="Q19" s="42" t="s">
        <v>157</v>
      </c>
      <c r="R19" s="46"/>
      <c r="S19" s="46">
        <f t="shared" si="9"/>
        <v>7.0833333333333331E-2</v>
      </c>
      <c r="T19" s="46">
        <f t="shared" si="6"/>
        <v>255</v>
      </c>
      <c r="U19" s="46"/>
      <c r="V19" s="46" t="e">
        <f t="shared" si="3"/>
        <v>#DIV/0!</v>
      </c>
      <c r="W19" s="46" t="e">
        <f t="shared" si="4"/>
        <v>#DIV/0!</v>
      </c>
      <c r="X19" s="46"/>
      <c r="Y19" s="46"/>
      <c r="Z19" s="46"/>
    </row>
    <row r="20" spans="1:26" s="47" customFormat="1" ht="14.25" customHeight="1">
      <c r="A20" s="43">
        <v>55</v>
      </c>
      <c r="B20" s="43" t="s">
        <v>69</v>
      </c>
      <c r="C20" s="42" t="s">
        <v>158</v>
      </c>
      <c r="D20" s="43" t="s">
        <v>28</v>
      </c>
      <c r="E20" s="43" t="s">
        <v>29</v>
      </c>
      <c r="F20" s="43" t="s">
        <v>29</v>
      </c>
      <c r="G20" s="43" t="s">
        <v>26</v>
      </c>
      <c r="H20" s="56">
        <f>55*60</f>
        <v>3300</v>
      </c>
      <c r="I20" s="56" t="s">
        <v>26</v>
      </c>
      <c r="J20" s="56">
        <f t="shared" si="7"/>
        <v>3.5</v>
      </c>
      <c r="K20" s="56">
        <f t="shared" si="8"/>
        <v>5</v>
      </c>
      <c r="L20" s="43" t="s">
        <v>29</v>
      </c>
      <c r="M20" s="43" t="s">
        <v>26</v>
      </c>
      <c r="N20" s="43" t="s">
        <v>29</v>
      </c>
      <c r="O20" s="43" t="s">
        <v>29</v>
      </c>
      <c r="P20" s="43" t="s">
        <v>149</v>
      </c>
      <c r="Q20" s="42" t="s">
        <v>159</v>
      </c>
      <c r="R20" s="46"/>
      <c r="S20" s="46">
        <f t="shared" si="9"/>
        <v>7.0833333333333331E-2</v>
      </c>
      <c r="T20" s="46">
        <f t="shared" si="6"/>
        <v>233.75</v>
      </c>
      <c r="U20" s="46"/>
      <c r="V20" s="46" t="e">
        <f t="shared" si="3"/>
        <v>#DIV/0!</v>
      </c>
      <c r="W20" s="46" t="e">
        <f t="shared" si="4"/>
        <v>#DIV/0!</v>
      </c>
      <c r="X20" s="46"/>
      <c r="Y20" s="46"/>
      <c r="Z20" s="46"/>
    </row>
    <row r="21" spans="1:26" s="47" customFormat="1" ht="14.25" customHeight="1">
      <c r="A21" s="43">
        <v>55</v>
      </c>
      <c r="B21" s="43" t="s">
        <v>69</v>
      </c>
      <c r="C21" s="42" t="s">
        <v>160</v>
      </c>
      <c r="D21" s="43" t="s">
        <v>28</v>
      </c>
      <c r="E21" s="43" t="s">
        <v>161</v>
      </c>
      <c r="F21" s="43" t="s">
        <v>29</v>
      </c>
      <c r="G21" s="43" t="s">
        <v>26</v>
      </c>
      <c r="H21" s="56">
        <f>1300*60</f>
        <v>78000</v>
      </c>
      <c r="I21" s="56" t="s">
        <v>26</v>
      </c>
      <c r="J21" s="56">
        <f t="shared" si="7"/>
        <v>3.5</v>
      </c>
      <c r="K21" s="56">
        <f t="shared" si="8"/>
        <v>5</v>
      </c>
      <c r="L21" s="43" t="s">
        <v>29</v>
      </c>
      <c r="M21" s="43" t="s">
        <v>26</v>
      </c>
      <c r="N21" s="43" t="s">
        <v>29</v>
      </c>
      <c r="O21" s="43" t="s">
        <v>29</v>
      </c>
      <c r="P21" s="43" t="s">
        <v>162</v>
      </c>
      <c r="Q21" s="42" t="s">
        <v>163</v>
      </c>
      <c r="R21" s="46"/>
      <c r="S21" s="46">
        <f t="shared" si="9"/>
        <v>7.0833333333333331E-2</v>
      </c>
      <c r="T21" s="46">
        <f t="shared" si="6"/>
        <v>5525</v>
      </c>
      <c r="U21" s="46"/>
      <c r="V21" s="46" t="e">
        <f t="shared" si="3"/>
        <v>#DIV/0!</v>
      </c>
      <c r="W21" s="46" t="e">
        <f t="shared" si="4"/>
        <v>#DIV/0!</v>
      </c>
      <c r="X21" s="46"/>
      <c r="Y21" s="46"/>
      <c r="Z21" s="46"/>
    </row>
    <row r="22" spans="1:26" s="47" customFormat="1" ht="14.25" customHeight="1">
      <c r="A22" s="43">
        <v>55</v>
      </c>
      <c r="B22" s="43" t="s">
        <v>69</v>
      </c>
      <c r="C22" s="42" t="s">
        <v>164</v>
      </c>
      <c r="D22" s="43" t="s">
        <v>28</v>
      </c>
      <c r="E22" s="43" t="s">
        <v>161</v>
      </c>
      <c r="F22" s="43" t="s">
        <v>29</v>
      </c>
      <c r="G22" s="43" t="s">
        <v>26</v>
      </c>
      <c r="H22" s="56">
        <v>63000</v>
      </c>
      <c r="I22" s="56" t="s">
        <v>26</v>
      </c>
      <c r="J22" s="56">
        <f>210/60</f>
        <v>3.5</v>
      </c>
      <c r="K22" s="56">
        <f t="shared" si="8"/>
        <v>5</v>
      </c>
      <c r="L22" s="43" t="s">
        <v>29</v>
      </c>
      <c r="M22" s="43" t="s">
        <v>26</v>
      </c>
      <c r="N22" s="43" t="s">
        <v>29</v>
      </c>
      <c r="O22" s="43" t="s">
        <v>29</v>
      </c>
      <c r="P22" s="43" t="s">
        <v>162</v>
      </c>
      <c r="Q22" s="42" t="s">
        <v>165</v>
      </c>
      <c r="R22" s="46"/>
      <c r="S22" s="46">
        <f t="shared" si="9"/>
        <v>7.0833333333333331E-2</v>
      </c>
      <c r="T22" s="46">
        <f t="shared" si="6"/>
        <v>4462.5</v>
      </c>
      <c r="U22" s="46"/>
      <c r="V22" s="46" t="e">
        <f t="shared" si="3"/>
        <v>#DIV/0!</v>
      </c>
      <c r="W22" s="46" t="e">
        <f t="shared" si="4"/>
        <v>#DIV/0!</v>
      </c>
      <c r="X22" s="46"/>
      <c r="Y22" s="46"/>
      <c r="Z22" s="46"/>
    </row>
    <row r="23" spans="1:26" s="47" customFormat="1" ht="14.25" customHeight="1">
      <c r="A23" s="43">
        <v>55</v>
      </c>
      <c r="B23" s="43" t="s">
        <v>69</v>
      </c>
      <c r="C23" s="42" t="s">
        <v>166</v>
      </c>
      <c r="D23" s="43" t="s">
        <v>131</v>
      </c>
      <c r="E23" s="43" t="s">
        <v>161</v>
      </c>
      <c r="F23" s="43" t="s">
        <v>29</v>
      </c>
      <c r="G23" s="43" t="s">
        <v>26</v>
      </c>
      <c r="H23" s="56">
        <f>500*60</f>
        <v>30000</v>
      </c>
      <c r="I23" s="56" t="s">
        <v>26</v>
      </c>
      <c r="J23" s="56">
        <f t="shared" si="7"/>
        <v>3.5</v>
      </c>
      <c r="K23" s="56">
        <f t="shared" si="8"/>
        <v>5</v>
      </c>
      <c r="L23" s="43" t="s">
        <v>29</v>
      </c>
      <c r="M23" s="43" t="s">
        <v>26</v>
      </c>
      <c r="N23" s="43" t="s">
        <v>29</v>
      </c>
      <c r="O23" s="43" t="s">
        <v>29</v>
      </c>
      <c r="P23" s="43" t="s">
        <v>167</v>
      </c>
      <c r="Q23" s="42" t="s">
        <v>168</v>
      </c>
      <c r="R23" s="46"/>
      <c r="S23" s="46">
        <f t="shared" si="9"/>
        <v>7.0833333333333331E-2</v>
      </c>
      <c r="T23" s="46">
        <f t="shared" si="6"/>
        <v>2125</v>
      </c>
      <c r="U23" s="46"/>
      <c r="V23" s="46" t="e">
        <f t="shared" si="3"/>
        <v>#DIV/0!</v>
      </c>
      <c r="W23" s="46" t="e">
        <f t="shared" si="4"/>
        <v>#DIV/0!</v>
      </c>
      <c r="X23" s="46"/>
      <c r="Y23" s="46"/>
      <c r="Z23" s="46"/>
    </row>
    <row r="24" spans="1:26" s="47" customFormat="1" ht="24" customHeight="1">
      <c r="A24" s="43">
        <v>55</v>
      </c>
      <c r="B24" s="43" t="s">
        <v>69</v>
      </c>
      <c r="C24" s="42" t="s">
        <v>169</v>
      </c>
      <c r="D24" s="43" t="s">
        <v>28</v>
      </c>
      <c r="E24" s="43" t="s">
        <v>170</v>
      </c>
      <c r="F24" s="43" t="s">
        <v>29</v>
      </c>
      <c r="G24" s="43" t="s">
        <v>26</v>
      </c>
      <c r="H24" s="56">
        <f>350*60</f>
        <v>21000</v>
      </c>
      <c r="I24" s="56" t="s">
        <v>26</v>
      </c>
      <c r="J24" s="56">
        <f t="shared" si="7"/>
        <v>3.5</v>
      </c>
      <c r="K24" s="56">
        <f>300/60</f>
        <v>5</v>
      </c>
      <c r="L24" s="43" t="s">
        <v>29</v>
      </c>
      <c r="M24" s="43" t="s">
        <v>26</v>
      </c>
      <c r="N24" s="43" t="s">
        <v>29</v>
      </c>
      <c r="O24" s="43" t="s">
        <v>29</v>
      </c>
      <c r="P24" s="43" t="s">
        <v>149</v>
      </c>
      <c r="Q24" s="42" t="s">
        <v>171</v>
      </c>
      <c r="R24" s="46"/>
      <c r="S24" s="46">
        <f t="shared" si="9"/>
        <v>7.0833333333333331E-2</v>
      </c>
      <c r="T24" s="46">
        <f t="shared" si="6"/>
        <v>1487.5</v>
      </c>
      <c r="U24" s="46"/>
      <c r="V24" s="46" t="e">
        <f t="shared" si="3"/>
        <v>#DIV/0!</v>
      </c>
      <c r="W24" s="46" t="e">
        <f t="shared" si="4"/>
        <v>#DIV/0!</v>
      </c>
      <c r="X24" s="46"/>
      <c r="Y24" s="46"/>
      <c r="Z24" s="46"/>
    </row>
    <row r="25" spans="1:26" s="47" customFormat="1" ht="14.25" customHeight="1">
      <c r="A25" s="43">
        <v>55</v>
      </c>
      <c r="B25" s="43" t="s">
        <v>69</v>
      </c>
      <c r="C25" s="42" t="s">
        <v>172</v>
      </c>
      <c r="D25" s="43" t="s">
        <v>28</v>
      </c>
      <c r="E25" s="43" t="s">
        <v>29</v>
      </c>
      <c r="F25" s="43" t="s">
        <v>29</v>
      </c>
      <c r="G25" s="43" t="s">
        <v>26</v>
      </c>
      <c r="H25" s="56">
        <f>300*60</f>
        <v>18000</v>
      </c>
      <c r="I25" s="56" t="s">
        <v>26</v>
      </c>
      <c r="J25" s="56">
        <f t="shared" si="7"/>
        <v>3.5</v>
      </c>
      <c r="K25" s="56">
        <f t="shared" si="8"/>
        <v>5</v>
      </c>
      <c r="L25" s="43" t="s">
        <v>29</v>
      </c>
      <c r="M25" s="43" t="s">
        <v>26</v>
      </c>
      <c r="N25" s="43" t="s">
        <v>29</v>
      </c>
      <c r="O25" s="43" t="s">
        <v>29</v>
      </c>
      <c r="P25" s="43" t="s">
        <v>149</v>
      </c>
      <c r="Q25" s="42" t="s">
        <v>173</v>
      </c>
      <c r="R25" s="46"/>
      <c r="S25" s="46">
        <f t="shared" si="9"/>
        <v>7.0833333333333331E-2</v>
      </c>
      <c r="T25" s="46">
        <f t="shared" si="6"/>
        <v>1275</v>
      </c>
      <c r="U25" s="46"/>
      <c r="V25" s="46" t="e">
        <f t="shared" si="3"/>
        <v>#DIV/0!</v>
      </c>
      <c r="W25" s="46" t="e">
        <f t="shared" si="4"/>
        <v>#DIV/0!</v>
      </c>
      <c r="X25" s="46"/>
      <c r="Y25" s="46"/>
      <c r="Z25" s="46"/>
    </row>
    <row r="26" spans="1:26" s="47" customFormat="1" ht="14.25" customHeight="1">
      <c r="A26" s="43">
        <v>55</v>
      </c>
      <c r="B26" s="43" t="s">
        <v>69</v>
      </c>
      <c r="C26" s="42" t="s">
        <v>174</v>
      </c>
      <c r="D26" s="43" t="s">
        <v>28</v>
      </c>
      <c r="E26" s="43" t="s">
        <v>29</v>
      </c>
      <c r="F26" s="56">
        <f>50*60</f>
        <v>3000</v>
      </c>
      <c r="G26" s="43" t="s">
        <v>26</v>
      </c>
      <c r="H26" s="56">
        <f>90*60</f>
        <v>5400</v>
      </c>
      <c r="I26" s="56" t="s">
        <v>26</v>
      </c>
      <c r="J26" s="56">
        <f t="shared" si="7"/>
        <v>3.5</v>
      </c>
      <c r="K26" s="56">
        <f t="shared" si="8"/>
        <v>5</v>
      </c>
      <c r="L26" s="43" t="s">
        <v>29</v>
      </c>
      <c r="M26" s="43" t="s">
        <v>26</v>
      </c>
      <c r="N26" s="43" t="s">
        <v>29</v>
      </c>
      <c r="O26" s="43" t="s">
        <v>29</v>
      </c>
      <c r="P26" s="43" t="s">
        <v>175</v>
      </c>
      <c r="Q26" s="42" t="s">
        <v>176</v>
      </c>
      <c r="R26" s="46"/>
      <c r="S26" s="46">
        <f t="shared" si="9"/>
        <v>7.0833333333333331E-2</v>
      </c>
      <c r="T26" s="46">
        <f t="shared" si="6"/>
        <v>382.5</v>
      </c>
      <c r="U26" s="46"/>
      <c r="V26" s="46" t="e">
        <f t="shared" si="3"/>
        <v>#DIV/0!</v>
      </c>
      <c r="W26" s="46" t="e">
        <f t="shared" si="4"/>
        <v>#DIV/0!</v>
      </c>
      <c r="X26" s="46"/>
      <c r="Y26" s="46"/>
      <c r="Z26" s="46"/>
    </row>
    <row r="27" spans="1:26" s="47" customFormat="1" ht="14.25" customHeight="1">
      <c r="A27" s="43">
        <v>55</v>
      </c>
      <c r="B27" s="43" t="s">
        <v>69</v>
      </c>
      <c r="C27" s="42" t="s">
        <v>177</v>
      </c>
      <c r="D27" s="43" t="s">
        <v>28</v>
      </c>
      <c r="E27" s="43" t="s">
        <v>29</v>
      </c>
      <c r="F27" s="43" t="s">
        <v>29</v>
      </c>
      <c r="G27" s="43" t="s">
        <v>26</v>
      </c>
      <c r="H27" s="56">
        <v>14700</v>
      </c>
      <c r="I27" s="56" t="s">
        <v>26</v>
      </c>
      <c r="J27" s="56">
        <f t="shared" si="7"/>
        <v>3.5</v>
      </c>
      <c r="K27" s="56">
        <f t="shared" si="8"/>
        <v>5</v>
      </c>
      <c r="L27" s="43" t="s">
        <v>29</v>
      </c>
      <c r="M27" s="43" t="s">
        <v>26</v>
      </c>
      <c r="N27" s="43" t="s">
        <v>29</v>
      </c>
      <c r="O27" s="43" t="s">
        <v>29</v>
      </c>
      <c r="P27" s="43" t="s">
        <v>149</v>
      </c>
      <c r="Q27" s="42" t="s">
        <v>178</v>
      </c>
      <c r="R27" s="46"/>
      <c r="S27" s="46">
        <f t="shared" si="9"/>
        <v>7.0833333333333331E-2</v>
      </c>
      <c r="T27" s="46">
        <f t="shared" si="6"/>
        <v>1041.25</v>
      </c>
      <c r="U27" s="46"/>
      <c r="V27" s="46" t="e">
        <f t="shared" si="3"/>
        <v>#DIV/0!</v>
      </c>
      <c r="W27" s="46" t="e">
        <f t="shared" si="4"/>
        <v>#DIV/0!</v>
      </c>
      <c r="X27" s="46"/>
      <c r="Y27" s="46"/>
      <c r="Z27" s="46"/>
    </row>
    <row r="28" spans="1:26" s="47" customFormat="1" ht="14.25" customHeight="1">
      <c r="A28" s="43">
        <v>55</v>
      </c>
      <c r="B28" s="43" t="s">
        <v>69</v>
      </c>
      <c r="C28" s="43" t="s">
        <v>179</v>
      </c>
      <c r="D28" s="43" t="s">
        <v>28</v>
      </c>
      <c r="E28" s="43" t="s">
        <v>29</v>
      </c>
      <c r="F28" s="43" t="s">
        <v>29</v>
      </c>
      <c r="G28" s="43" t="s">
        <v>26</v>
      </c>
      <c r="H28" s="56">
        <v>9000</v>
      </c>
      <c r="I28" s="56" t="s">
        <v>26</v>
      </c>
      <c r="J28" s="56">
        <f t="shared" si="7"/>
        <v>3.5</v>
      </c>
      <c r="K28" s="56">
        <f>300/60</f>
        <v>5</v>
      </c>
      <c r="L28" s="43" t="s">
        <v>29</v>
      </c>
      <c r="M28" s="43" t="s">
        <v>26</v>
      </c>
      <c r="N28" s="43" t="s">
        <v>29</v>
      </c>
      <c r="O28" s="43" t="s">
        <v>29</v>
      </c>
      <c r="P28" s="43" t="s">
        <v>149</v>
      </c>
      <c r="Q28" s="43" t="s">
        <v>180</v>
      </c>
      <c r="R28" s="46"/>
      <c r="S28" s="46">
        <f t="shared" si="9"/>
        <v>7.0833333333333331E-2</v>
      </c>
      <c r="T28" s="46">
        <f t="shared" si="6"/>
        <v>637.5</v>
      </c>
      <c r="U28" s="46"/>
      <c r="V28" s="46" t="e">
        <f t="shared" si="3"/>
        <v>#DIV/0!</v>
      </c>
      <c r="W28" s="46" t="e">
        <f t="shared" si="4"/>
        <v>#DIV/0!</v>
      </c>
      <c r="X28" s="46"/>
      <c r="Y28" s="46"/>
      <c r="Z28" s="46"/>
    </row>
    <row r="29" spans="1:26" s="47" customFormat="1" ht="32.25" customHeight="1">
      <c r="A29" s="43">
        <v>55</v>
      </c>
      <c r="B29" s="43" t="s">
        <v>91</v>
      </c>
      <c r="C29" s="42" t="s">
        <v>169</v>
      </c>
      <c r="D29" s="43" t="s">
        <v>28</v>
      </c>
      <c r="E29" s="43" t="s">
        <v>29</v>
      </c>
      <c r="F29" s="43" t="s">
        <v>29</v>
      </c>
      <c r="G29" s="43" t="s">
        <v>26</v>
      </c>
      <c r="H29" s="56">
        <f>4*1000</f>
        <v>4000</v>
      </c>
      <c r="I29" s="56" t="s">
        <v>26</v>
      </c>
      <c r="J29" s="56">
        <v>90</v>
      </c>
      <c r="K29" s="56">
        <v>150</v>
      </c>
      <c r="L29" s="43" t="s">
        <v>29</v>
      </c>
      <c r="M29" s="43" t="s">
        <v>26</v>
      </c>
      <c r="N29" s="43" t="s">
        <v>29</v>
      </c>
      <c r="O29" s="43" t="s">
        <v>29</v>
      </c>
      <c r="P29" s="42" t="s">
        <v>181</v>
      </c>
      <c r="Q29" s="43" t="s">
        <v>182</v>
      </c>
      <c r="R29" s="46"/>
      <c r="S29" s="46">
        <f t="shared" ref="S29:S68" si="11">(AVERAGE(J29:K29))</f>
        <v>120</v>
      </c>
      <c r="T29" s="46">
        <f t="shared" si="6"/>
        <v>480000</v>
      </c>
      <c r="U29" s="46"/>
      <c r="V29" s="46" t="e">
        <f t="shared" si="3"/>
        <v>#DIV/0!</v>
      </c>
      <c r="W29" s="46" t="e">
        <f t="shared" si="4"/>
        <v>#DIV/0!</v>
      </c>
      <c r="X29" s="46"/>
      <c r="Y29" s="46"/>
      <c r="Z29" s="46"/>
    </row>
    <row r="30" spans="1:26" s="47" customFormat="1" ht="14.25" customHeight="1">
      <c r="A30" s="43">
        <v>55</v>
      </c>
      <c r="B30" s="43" t="s">
        <v>91</v>
      </c>
      <c r="C30" s="43" t="s">
        <v>183</v>
      </c>
      <c r="D30" s="43" t="s">
        <v>28</v>
      </c>
      <c r="E30" s="43" t="s">
        <v>29</v>
      </c>
      <c r="F30" s="43" t="s">
        <v>29</v>
      </c>
      <c r="G30" s="43" t="s">
        <v>26</v>
      </c>
      <c r="H30" s="56">
        <f>7*1000</f>
        <v>7000</v>
      </c>
      <c r="I30" s="56" t="s">
        <v>26</v>
      </c>
      <c r="J30" s="56">
        <v>90</v>
      </c>
      <c r="K30" s="56">
        <v>150</v>
      </c>
      <c r="L30" s="43" t="s">
        <v>29</v>
      </c>
      <c r="M30" s="43" t="s">
        <v>26</v>
      </c>
      <c r="N30" s="43" t="s">
        <v>29</v>
      </c>
      <c r="O30" s="43" t="s">
        <v>29</v>
      </c>
      <c r="P30" s="43" t="s">
        <v>152</v>
      </c>
      <c r="Q30" s="43" t="s">
        <v>163</v>
      </c>
      <c r="R30" s="46"/>
      <c r="S30" s="46">
        <f t="shared" si="11"/>
        <v>120</v>
      </c>
      <c r="T30" s="46">
        <f t="shared" si="6"/>
        <v>840000</v>
      </c>
      <c r="U30" s="46"/>
      <c r="V30" s="46" t="e">
        <f t="shared" si="3"/>
        <v>#DIV/0!</v>
      </c>
      <c r="W30" s="46" t="e">
        <f t="shared" si="4"/>
        <v>#DIV/0!</v>
      </c>
      <c r="X30" s="46"/>
      <c r="Y30" s="46"/>
      <c r="Z30" s="46"/>
    </row>
    <row r="31" spans="1:26" s="47" customFormat="1" ht="14.25" customHeight="1">
      <c r="A31" s="43">
        <v>55</v>
      </c>
      <c r="B31" s="43" t="s">
        <v>91</v>
      </c>
      <c r="C31" s="43" t="s">
        <v>184</v>
      </c>
      <c r="D31" s="43" t="s">
        <v>28</v>
      </c>
      <c r="E31" s="43" t="s">
        <v>29</v>
      </c>
      <c r="F31" s="43" t="s">
        <v>29</v>
      </c>
      <c r="G31" s="43" t="s">
        <v>26</v>
      </c>
      <c r="H31" s="56">
        <v>3500</v>
      </c>
      <c r="I31" s="56" t="s">
        <v>26</v>
      </c>
      <c r="J31" s="56">
        <v>90</v>
      </c>
      <c r="K31" s="56">
        <v>150</v>
      </c>
      <c r="L31" s="43" t="s">
        <v>29</v>
      </c>
      <c r="M31" s="43" t="s">
        <v>26</v>
      </c>
      <c r="N31" s="43" t="s">
        <v>29</v>
      </c>
      <c r="O31" s="43" t="s">
        <v>29</v>
      </c>
      <c r="P31" s="43" t="s">
        <v>152</v>
      </c>
      <c r="Q31" s="43" t="s">
        <v>165</v>
      </c>
      <c r="R31" s="46"/>
      <c r="S31" s="46">
        <f t="shared" si="11"/>
        <v>120</v>
      </c>
      <c r="T31" s="46">
        <f t="shared" si="6"/>
        <v>420000</v>
      </c>
      <c r="U31" s="46"/>
      <c r="V31" s="46" t="e">
        <f t="shared" si="3"/>
        <v>#DIV/0!</v>
      </c>
      <c r="W31" s="46" t="e">
        <f t="shared" si="4"/>
        <v>#DIV/0!</v>
      </c>
      <c r="X31" s="46"/>
      <c r="Y31" s="46"/>
      <c r="Z31" s="46"/>
    </row>
    <row r="32" spans="1:26" s="47" customFormat="1" ht="27.75" customHeight="1">
      <c r="A32" s="43">
        <v>55</v>
      </c>
      <c r="B32" s="43" t="s">
        <v>91</v>
      </c>
      <c r="C32" s="42" t="s">
        <v>185</v>
      </c>
      <c r="D32" s="43" t="s">
        <v>28</v>
      </c>
      <c r="E32" s="43" t="s">
        <v>29</v>
      </c>
      <c r="F32" s="43" t="s">
        <v>29</v>
      </c>
      <c r="G32" s="43" t="s">
        <v>26</v>
      </c>
      <c r="H32" s="56">
        <v>4000</v>
      </c>
      <c r="I32" s="56" t="s">
        <v>26</v>
      </c>
      <c r="J32" s="56">
        <v>90</v>
      </c>
      <c r="K32" s="56">
        <v>150</v>
      </c>
      <c r="L32" s="43" t="s">
        <v>29</v>
      </c>
      <c r="M32" s="43" t="s">
        <v>26</v>
      </c>
      <c r="N32" s="43" t="s">
        <v>29</v>
      </c>
      <c r="O32" s="43" t="s">
        <v>29</v>
      </c>
      <c r="P32" s="43" t="s">
        <v>149</v>
      </c>
      <c r="Q32" s="43" t="s">
        <v>171</v>
      </c>
      <c r="R32" s="46"/>
      <c r="S32" s="46">
        <f t="shared" si="11"/>
        <v>120</v>
      </c>
      <c r="T32" s="46">
        <f t="shared" si="6"/>
        <v>480000</v>
      </c>
      <c r="U32" s="46"/>
      <c r="V32" s="46" t="e">
        <f t="shared" si="3"/>
        <v>#DIV/0!</v>
      </c>
      <c r="W32" s="46" t="e">
        <f t="shared" si="4"/>
        <v>#DIV/0!</v>
      </c>
      <c r="X32" s="46"/>
      <c r="Y32" s="46"/>
      <c r="Z32" s="46"/>
    </row>
    <row r="33" spans="1:26" s="47" customFormat="1" ht="14.25" customHeight="1">
      <c r="A33" s="43">
        <v>55</v>
      </c>
      <c r="B33" s="43" t="s">
        <v>91</v>
      </c>
      <c r="C33" s="43" t="s">
        <v>186</v>
      </c>
      <c r="D33" s="43" t="s">
        <v>28</v>
      </c>
      <c r="E33" s="43" t="s">
        <v>29</v>
      </c>
      <c r="F33" s="43" t="s">
        <v>29</v>
      </c>
      <c r="G33" s="43" t="s">
        <v>26</v>
      </c>
      <c r="H33" s="56">
        <v>3000</v>
      </c>
      <c r="I33" s="56" t="s">
        <v>26</v>
      </c>
      <c r="J33" s="56">
        <v>90</v>
      </c>
      <c r="K33" s="56">
        <v>150</v>
      </c>
      <c r="L33" s="43" t="s">
        <v>29</v>
      </c>
      <c r="M33" s="43" t="s">
        <v>26</v>
      </c>
      <c r="N33" s="43" t="s">
        <v>29</v>
      </c>
      <c r="O33" s="43" t="s">
        <v>29</v>
      </c>
      <c r="P33" s="43" t="s">
        <v>149</v>
      </c>
      <c r="Q33" s="43" t="s">
        <v>187</v>
      </c>
      <c r="R33" s="46"/>
      <c r="S33" s="46">
        <f t="shared" si="11"/>
        <v>120</v>
      </c>
      <c r="T33" s="46">
        <f t="shared" si="6"/>
        <v>360000</v>
      </c>
      <c r="U33" s="46"/>
      <c r="V33" s="46" t="e">
        <f t="shared" si="3"/>
        <v>#DIV/0!</v>
      </c>
      <c r="W33" s="46" t="e">
        <f t="shared" si="4"/>
        <v>#DIV/0!</v>
      </c>
      <c r="X33" s="46"/>
      <c r="Y33" s="46"/>
      <c r="Z33" s="46"/>
    </row>
    <row r="34" spans="1:26" s="47" customFormat="1" ht="27" customHeight="1">
      <c r="A34" s="43">
        <v>55</v>
      </c>
      <c r="B34" s="43" t="s">
        <v>91</v>
      </c>
      <c r="C34" s="42" t="s">
        <v>188</v>
      </c>
      <c r="D34" s="43" t="s">
        <v>28</v>
      </c>
      <c r="E34" s="43" t="s">
        <v>29</v>
      </c>
      <c r="F34" s="43" t="s">
        <v>29</v>
      </c>
      <c r="G34" s="43" t="s">
        <v>26</v>
      </c>
      <c r="H34" s="56">
        <v>2000</v>
      </c>
      <c r="I34" s="56" t="s">
        <v>26</v>
      </c>
      <c r="J34" s="56">
        <v>90</v>
      </c>
      <c r="K34" s="56">
        <v>150</v>
      </c>
      <c r="L34" s="43" t="s">
        <v>29</v>
      </c>
      <c r="M34" s="43" t="s">
        <v>26</v>
      </c>
      <c r="N34" s="43" t="s">
        <v>29</v>
      </c>
      <c r="O34" s="43" t="s">
        <v>29</v>
      </c>
      <c r="P34" s="43" t="s">
        <v>149</v>
      </c>
      <c r="Q34" s="43" t="s">
        <v>189</v>
      </c>
      <c r="R34" s="46"/>
      <c r="S34" s="46">
        <f t="shared" si="11"/>
        <v>120</v>
      </c>
      <c r="T34" s="46">
        <f t="shared" si="6"/>
        <v>240000</v>
      </c>
      <c r="U34" s="46"/>
      <c r="V34" s="46" t="e">
        <f t="shared" si="3"/>
        <v>#DIV/0!</v>
      </c>
      <c r="W34" s="46" t="e">
        <f t="shared" si="4"/>
        <v>#DIV/0!</v>
      </c>
      <c r="X34" s="46"/>
      <c r="Y34" s="46"/>
      <c r="Z34" s="46"/>
    </row>
    <row r="35" spans="1:26" s="47" customFormat="1" ht="14.25" customHeight="1">
      <c r="A35" s="43">
        <v>55</v>
      </c>
      <c r="B35" s="43" t="s">
        <v>91</v>
      </c>
      <c r="C35" s="43" t="s">
        <v>190</v>
      </c>
      <c r="D35" s="43" t="s">
        <v>28</v>
      </c>
      <c r="E35" s="43" t="s">
        <v>29</v>
      </c>
      <c r="F35" s="43" t="s">
        <v>29</v>
      </c>
      <c r="G35" s="43" t="s">
        <v>26</v>
      </c>
      <c r="H35" s="56">
        <v>3000</v>
      </c>
      <c r="I35" s="56" t="s">
        <v>26</v>
      </c>
      <c r="J35" s="56">
        <v>90</v>
      </c>
      <c r="K35" s="56">
        <v>150</v>
      </c>
      <c r="L35" s="43" t="s">
        <v>29</v>
      </c>
      <c r="M35" s="43" t="s">
        <v>26</v>
      </c>
      <c r="N35" s="43" t="s">
        <v>29</v>
      </c>
      <c r="O35" s="43" t="s">
        <v>29</v>
      </c>
      <c r="P35" s="43" t="s">
        <v>191</v>
      </c>
      <c r="Q35" s="43" t="s">
        <v>192</v>
      </c>
      <c r="R35" s="46"/>
      <c r="S35" s="46">
        <f t="shared" si="11"/>
        <v>120</v>
      </c>
      <c r="T35" s="46">
        <f t="shared" si="6"/>
        <v>360000</v>
      </c>
      <c r="U35" s="46"/>
      <c r="V35" s="46" t="e">
        <f t="shared" si="3"/>
        <v>#DIV/0!</v>
      </c>
      <c r="W35" s="46" t="e">
        <f t="shared" si="4"/>
        <v>#DIV/0!</v>
      </c>
      <c r="X35" s="46"/>
      <c r="Y35" s="46"/>
      <c r="Z35" s="46"/>
    </row>
    <row r="36" spans="1:26" s="47" customFormat="1" ht="14.25" customHeight="1">
      <c r="A36" s="43">
        <v>55</v>
      </c>
      <c r="B36" s="43" t="s">
        <v>91</v>
      </c>
      <c r="C36" s="43" t="s">
        <v>193</v>
      </c>
      <c r="D36" s="43" t="s">
        <v>131</v>
      </c>
      <c r="E36" s="43" t="s">
        <v>29</v>
      </c>
      <c r="F36" s="43" t="s">
        <v>29</v>
      </c>
      <c r="G36" s="43" t="s">
        <v>26</v>
      </c>
      <c r="H36" s="56">
        <v>2000</v>
      </c>
      <c r="I36" s="56" t="s">
        <v>26</v>
      </c>
      <c r="J36" s="56">
        <v>90</v>
      </c>
      <c r="K36" s="56">
        <v>150</v>
      </c>
      <c r="L36" s="43" t="s">
        <v>29</v>
      </c>
      <c r="M36" s="43" t="s">
        <v>26</v>
      </c>
      <c r="N36" s="43" t="s">
        <v>29</v>
      </c>
      <c r="O36" s="43" t="s">
        <v>29</v>
      </c>
      <c r="P36" s="43" t="s">
        <v>152</v>
      </c>
      <c r="Q36" s="43" t="s">
        <v>176</v>
      </c>
      <c r="R36" s="46"/>
      <c r="S36" s="46">
        <f t="shared" si="11"/>
        <v>120</v>
      </c>
      <c r="T36" s="46">
        <f t="shared" si="6"/>
        <v>240000</v>
      </c>
      <c r="U36" s="46"/>
      <c r="V36" s="46" t="e">
        <f t="shared" si="3"/>
        <v>#DIV/0!</v>
      </c>
      <c r="W36" s="46" t="e">
        <f t="shared" si="4"/>
        <v>#DIV/0!</v>
      </c>
      <c r="X36" s="46"/>
      <c r="Y36" s="46"/>
      <c r="Z36" s="46"/>
    </row>
    <row r="37" spans="1:26" s="47" customFormat="1" ht="14.25" customHeight="1">
      <c r="A37" s="43">
        <v>55</v>
      </c>
      <c r="B37" s="43" t="s">
        <v>91</v>
      </c>
      <c r="C37" s="43" t="s">
        <v>194</v>
      </c>
      <c r="D37" s="43" t="s">
        <v>131</v>
      </c>
      <c r="E37" s="43" t="s">
        <v>29</v>
      </c>
      <c r="F37" s="43" t="s">
        <v>29</v>
      </c>
      <c r="G37" s="43" t="s">
        <v>26</v>
      </c>
      <c r="H37" s="56">
        <v>1500</v>
      </c>
      <c r="I37" s="56" t="s">
        <v>26</v>
      </c>
      <c r="J37" s="56">
        <v>90</v>
      </c>
      <c r="K37" s="56">
        <v>150</v>
      </c>
      <c r="L37" s="43" t="s">
        <v>29</v>
      </c>
      <c r="M37" s="43" t="s">
        <v>26</v>
      </c>
      <c r="N37" s="43" t="s">
        <v>29</v>
      </c>
      <c r="O37" s="43" t="s">
        <v>29</v>
      </c>
      <c r="P37" s="43" t="s">
        <v>152</v>
      </c>
      <c r="Q37" s="43" t="s">
        <v>195</v>
      </c>
      <c r="R37" s="46"/>
      <c r="S37" s="46">
        <f t="shared" si="11"/>
        <v>120</v>
      </c>
      <c r="T37" s="46">
        <f t="shared" si="6"/>
        <v>180000</v>
      </c>
      <c r="U37" s="46"/>
      <c r="V37" s="46" t="e">
        <f t="shared" ref="V37:V68" si="12">AVERAGE(N37:O37)</f>
        <v>#DIV/0!</v>
      </c>
      <c r="W37" s="46" t="e">
        <f t="shared" ref="W37:W68" si="13">V37*L37</f>
        <v>#DIV/0!</v>
      </c>
      <c r="X37" s="46"/>
      <c r="Y37" s="46"/>
      <c r="Z37" s="46"/>
    </row>
    <row r="38" spans="1:26" s="47" customFormat="1" ht="14.25" customHeight="1">
      <c r="A38" s="43">
        <v>55</v>
      </c>
      <c r="B38" s="43" t="s">
        <v>91</v>
      </c>
      <c r="C38" s="43" t="s">
        <v>196</v>
      </c>
      <c r="D38" s="43" t="s">
        <v>28</v>
      </c>
      <c r="E38" s="43" t="s">
        <v>29</v>
      </c>
      <c r="F38" s="43" t="s">
        <v>29</v>
      </c>
      <c r="G38" s="43" t="s">
        <v>26</v>
      </c>
      <c r="H38" s="56">
        <v>3000</v>
      </c>
      <c r="I38" s="56" t="s">
        <v>26</v>
      </c>
      <c r="J38" s="56">
        <v>90</v>
      </c>
      <c r="K38" s="56">
        <v>150</v>
      </c>
      <c r="L38" s="43" t="s">
        <v>29</v>
      </c>
      <c r="M38" s="43" t="s">
        <v>26</v>
      </c>
      <c r="N38" s="43" t="s">
        <v>29</v>
      </c>
      <c r="O38" s="43" t="s">
        <v>29</v>
      </c>
      <c r="P38" s="43" t="s">
        <v>149</v>
      </c>
      <c r="Q38" s="43" t="s">
        <v>197</v>
      </c>
      <c r="R38" s="46"/>
      <c r="S38" s="46">
        <f t="shared" si="11"/>
        <v>120</v>
      </c>
      <c r="T38" s="46">
        <f t="shared" si="6"/>
        <v>360000</v>
      </c>
      <c r="U38" s="46"/>
      <c r="V38" s="46" t="e">
        <f t="shared" si="12"/>
        <v>#DIV/0!</v>
      </c>
      <c r="W38" s="46" t="e">
        <f t="shared" si="13"/>
        <v>#DIV/0!</v>
      </c>
      <c r="X38" s="46"/>
      <c r="Y38" s="46"/>
      <c r="Z38" s="46"/>
    </row>
    <row r="39" spans="1:26" s="47" customFormat="1" ht="14.25" customHeight="1">
      <c r="A39" s="43">
        <v>55</v>
      </c>
      <c r="B39" s="43" t="s">
        <v>91</v>
      </c>
      <c r="C39" s="42" t="s">
        <v>198</v>
      </c>
      <c r="D39" s="43" t="s">
        <v>28</v>
      </c>
      <c r="E39" s="43" t="s">
        <v>29</v>
      </c>
      <c r="F39" s="43" t="s">
        <v>29</v>
      </c>
      <c r="G39" s="43" t="s">
        <v>26</v>
      </c>
      <c r="H39" s="56">
        <v>700</v>
      </c>
      <c r="I39" s="56" t="s">
        <v>26</v>
      </c>
      <c r="J39" s="56">
        <v>90</v>
      </c>
      <c r="K39" s="56">
        <v>150</v>
      </c>
      <c r="L39" s="43" t="s">
        <v>29</v>
      </c>
      <c r="M39" s="43" t="s">
        <v>26</v>
      </c>
      <c r="N39" s="43" t="s">
        <v>29</v>
      </c>
      <c r="O39" s="43" t="s">
        <v>29</v>
      </c>
      <c r="P39" s="43" t="s">
        <v>149</v>
      </c>
      <c r="Q39" s="43" t="s">
        <v>173</v>
      </c>
      <c r="R39" s="46"/>
      <c r="S39" s="46">
        <f t="shared" si="11"/>
        <v>120</v>
      </c>
      <c r="T39" s="46">
        <f t="shared" si="6"/>
        <v>84000</v>
      </c>
      <c r="U39" s="46"/>
      <c r="V39" s="46" t="e">
        <f t="shared" si="12"/>
        <v>#DIV/0!</v>
      </c>
      <c r="W39" s="46" t="e">
        <f t="shared" si="13"/>
        <v>#DIV/0!</v>
      </c>
      <c r="X39" s="46"/>
      <c r="Y39" s="46"/>
      <c r="Z39" s="46"/>
    </row>
    <row r="40" spans="1:26" s="47" customFormat="1" ht="14.25" customHeight="1">
      <c r="A40" s="43">
        <v>55</v>
      </c>
      <c r="B40" s="43" t="s">
        <v>91</v>
      </c>
      <c r="C40" s="43" t="s">
        <v>179</v>
      </c>
      <c r="D40" s="43" t="s">
        <v>28</v>
      </c>
      <c r="E40" s="43" t="s">
        <v>29</v>
      </c>
      <c r="F40" s="43" t="s">
        <v>29</v>
      </c>
      <c r="G40" s="43" t="s">
        <v>26</v>
      </c>
      <c r="H40" s="56">
        <v>600</v>
      </c>
      <c r="I40" s="56" t="s">
        <v>26</v>
      </c>
      <c r="J40" s="56">
        <v>90</v>
      </c>
      <c r="K40" s="56">
        <v>150</v>
      </c>
      <c r="L40" s="43" t="s">
        <v>29</v>
      </c>
      <c r="M40" s="43" t="s">
        <v>26</v>
      </c>
      <c r="N40" s="43" t="s">
        <v>29</v>
      </c>
      <c r="O40" s="43" t="s">
        <v>29</v>
      </c>
      <c r="P40" s="43" t="s">
        <v>152</v>
      </c>
      <c r="Q40" s="43" t="s">
        <v>180</v>
      </c>
      <c r="R40" s="46"/>
      <c r="S40" s="46">
        <f t="shared" si="11"/>
        <v>120</v>
      </c>
      <c r="T40" s="46">
        <f t="shared" si="6"/>
        <v>72000</v>
      </c>
      <c r="U40" s="46"/>
      <c r="V40" s="46" t="e">
        <f t="shared" si="12"/>
        <v>#DIV/0!</v>
      </c>
      <c r="W40" s="46" t="e">
        <f t="shared" si="13"/>
        <v>#DIV/0!</v>
      </c>
      <c r="X40" s="46"/>
      <c r="Y40" s="46"/>
      <c r="Z40" s="46"/>
    </row>
    <row r="41" spans="1:26" s="47" customFormat="1" ht="14.25" customHeight="1">
      <c r="A41" s="43">
        <v>55</v>
      </c>
      <c r="B41" s="43" t="s">
        <v>91</v>
      </c>
      <c r="C41" s="43" t="s">
        <v>199</v>
      </c>
      <c r="D41" s="43" t="s">
        <v>28</v>
      </c>
      <c r="E41" s="43" t="s">
        <v>29</v>
      </c>
      <c r="F41" s="43" t="s">
        <v>29</v>
      </c>
      <c r="G41" s="43" t="s">
        <v>26</v>
      </c>
      <c r="H41" s="56">
        <v>700</v>
      </c>
      <c r="I41" s="56" t="s">
        <v>26</v>
      </c>
      <c r="J41" s="56">
        <v>90</v>
      </c>
      <c r="K41" s="56">
        <v>150</v>
      </c>
      <c r="L41" s="43" t="s">
        <v>29</v>
      </c>
      <c r="M41" s="43" t="s">
        <v>26</v>
      </c>
      <c r="N41" s="43" t="s">
        <v>29</v>
      </c>
      <c r="O41" s="43" t="s">
        <v>29</v>
      </c>
      <c r="P41" s="43" t="s">
        <v>152</v>
      </c>
      <c r="Q41" s="43" t="s">
        <v>200</v>
      </c>
      <c r="R41" s="46"/>
      <c r="S41" s="46">
        <f t="shared" si="11"/>
        <v>120</v>
      </c>
      <c r="T41" s="46">
        <f t="shared" si="6"/>
        <v>84000</v>
      </c>
      <c r="U41" s="46"/>
      <c r="V41" s="46" t="e">
        <f t="shared" si="12"/>
        <v>#DIV/0!</v>
      </c>
      <c r="W41" s="46" t="e">
        <f t="shared" si="13"/>
        <v>#DIV/0!</v>
      </c>
      <c r="X41" s="46"/>
      <c r="Y41" s="46"/>
      <c r="Z41" s="46"/>
    </row>
    <row r="42" spans="1:26" s="47" customFormat="1" ht="14.25" customHeight="1">
      <c r="A42" s="43">
        <v>55</v>
      </c>
      <c r="B42" s="43" t="s">
        <v>91</v>
      </c>
      <c r="C42" s="43" t="s">
        <v>201</v>
      </c>
      <c r="D42" s="43" t="s">
        <v>131</v>
      </c>
      <c r="E42" s="43" t="s">
        <v>29</v>
      </c>
      <c r="F42" s="43" t="s">
        <v>29</v>
      </c>
      <c r="G42" s="43" t="s">
        <v>26</v>
      </c>
      <c r="H42" s="56">
        <v>2000</v>
      </c>
      <c r="I42" s="56" t="s">
        <v>26</v>
      </c>
      <c r="J42" s="56">
        <v>90</v>
      </c>
      <c r="K42" s="56">
        <v>150</v>
      </c>
      <c r="L42" s="43" t="s">
        <v>29</v>
      </c>
      <c r="M42" s="43" t="s">
        <v>26</v>
      </c>
      <c r="N42" s="43" t="s">
        <v>29</v>
      </c>
      <c r="O42" s="43" t="s">
        <v>29</v>
      </c>
      <c r="P42" s="43" t="s">
        <v>152</v>
      </c>
      <c r="Q42" s="43" t="s">
        <v>202</v>
      </c>
      <c r="R42" s="46"/>
      <c r="S42" s="46">
        <f t="shared" si="11"/>
        <v>120</v>
      </c>
      <c r="T42" s="46">
        <f t="shared" si="6"/>
        <v>240000</v>
      </c>
      <c r="U42" s="46"/>
      <c r="V42" s="46" t="e">
        <f t="shared" si="12"/>
        <v>#DIV/0!</v>
      </c>
      <c r="W42" s="46" t="e">
        <f t="shared" si="13"/>
        <v>#DIV/0!</v>
      </c>
      <c r="X42" s="46"/>
      <c r="Y42" s="46"/>
      <c r="Z42" s="46"/>
    </row>
    <row r="43" spans="1:26" s="47" customFormat="1" ht="14.25" customHeight="1">
      <c r="A43" s="43">
        <v>55</v>
      </c>
      <c r="B43" s="43" t="s">
        <v>91</v>
      </c>
      <c r="C43" s="43" t="s">
        <v>203</v>
      </c>
      <c r="D43" s="43" t="s">
        <v>28</v>
      </c>
      <c r="E43" s="43" t="s">
        <v>29</v>
      </c>
      <c r="F43" s="43" t="s">
        <v>29</v>
      </c>
      <c r="G43" s="43" t="s">
        <v>26</v>
      </c>
      <c r="H43" s="56">
        <v>600</v>
      </c>
      <c r="I43" s="56" t="s">
        <v>26</v>
      </c>
      <c r="J43" s="56">
        <v>90</v>
      </c>
      <c r="K43" s="56">
        <v>150</v>
      </c>
      <c r="L43" s="43" t="s">
        <v>29</v>
      </c>
      <c r="M43" s="43" t="s">
        <v>26</v>
      </c>
      <c r="N43" s="43" t="s">
        <v>29</v>
      </c>
      <c r="O43" s="43" t="s">
        <v>29</v>
      </c>
      <c r="P43" s="43" t="s">
        <v>152</v>
      </c>
      <c r="Q43" s="43" t="s">
        <v>204</v>
      </c>
      <c r="R43" s="46"/>
      <c r="S43" s="46">
        <f t="shared" si="11"/>
        <v>120</v>
      </c>
      <c r="T43" s="46">
        <f t="shared" si="6"/>
        <v>72000</v>
      </c>
      <c r="U43" s="46"/>
      <c r="V43" s="46" t="e">
        <f t="shared" si="12"/>
        <v>#DIV/0!</v>
      </c>
      <c r="W43" s="46" t="e">
        <f t="shared" si="13"/>
        <v>#DIV/0!</v>
      </c>
      <c r="X43" s="46"/>
      <c r="Y43" s="46"/>
      <c r="Z43" s="46"/>
    </row>
    <row r="44" spans="1:26" s="47" customFormat="1" ht="14.25" customHeight="1">
      <c r="A44" s="43">
        <v>55</v>
      </c>
      <c r="B44" s="43" t="s">
        <v>91</v>
      </c>
      <c r="C44" s="43" t="s">
        <v>205</v>
      </c>
      <c r="D44" s="43" t="s">
        <v>28</v>
      </c>
      <c r="E44" s="43" t="s">
        <v>29</v>
      </c>
      <c r="F44" s="43" t="s">
        <v>29</v>
      </c>
      <c r="G44" s="43" t="s">
        <v>26</v>
      </c>
      <c r="H44" s="56">
        <v>1500</v>
      </c>
      <c r="I44" s="56" t="s">
        <v>26</v>
      </c>
      <c r="J44" s="56">
        <v>90</v>
      </c>
      <c r="K44" s="56">
        <v>150</v>
      </c>
      <c r="L44" s="43" t="s">
        <v>29</v>
      </c>
      <c r="M44" s="43" t="s">
        <v>26</v>
      </c>
      <c r="N44" s="43" t="s">
        <v>29</v>
      </c>
      <c r="O44" s="43" t="s">
        <v>29</v>
      </c>
      <c r="P44" s="43" t="s">
        <v>152</v>
      </c>
      <c r="Q44" s="43" t="s">
        <v>206</v>
      </c>
      <c r="R44" s="46"/>
      <c r="S44" s="46">
        <f t="shared" si="11"/>
        <v>120</v>
      </c>
      <c r="T44" s="46">
        <f t="shared" si="6"/>
        <v>180000</v>
      </c>
      <c r="U44" s="46"/>
      <c r="V44" s="46" t="e">
        <f t="shared" si="12"/>
        <v>#DIV/0!</v>
      </c>
      <c r="W44" s="46" t="e">
        <f t="shared" si="13"/>
        <v>#DIV/0!</v>
      </c>
      <c r="X44" s="46"/>
      <c r="Y44" s="46"/>
      <c r="Z44" s="46"/>
    </row>
    <row r="45" spans="1:26" s="47" customFormat="1" ht="14.25" customHeight="1">
      <c r="A45" s="43">
        <v>55</v>
      </c>
      <c r="B45" s="43" t="s">
        <v>91</v>
      </c>
      <c r="C45" s="43" t="s">
        <v>205</v>
      </c>
      <c r="D45" s="43" t="s">
        <v>28</v>
      </c>
      <c r="E45" s="43" t="s">
        <v>29</v>
      </c>
      <c r="F45" s="43" t="s">
        <v>29</v>
      </c>
      <c r="G45" s="43" t="s">
        <v>26</v>
      </c>
      <c r="H45" s="56">
        <v>700</v>
      </c>
      <c r="I45" s="56" t="s">
        <v>26</v>
      </c>
      <c r="J45" s="56">
        <v>90</v>
      </c>
      <c r="K45" s="56">
        <v>150</v>
      </c>
      <c r="L45" s="43" t="s">
        <v>29</v>
      </c>
      <c r="M45" s="43" t="s">
        <v>26</v>
      </c>
      <c r="N45" s="43" t="s">
        <v>29</v>
      </c>
      <c r="O45" s="43" t="s">
        <v>29</v>
      </c>
      <c r="P45" s="43" t="s">
        <v>152</v>
      </c>
      <c r="Q45" s="43" t="s">
        <v>207</v>
      </c>
      <c r="R45" s="46"/>
      <c r="S45" s="46">
        <f t="shared" si="11"/>
        <v>120</v>
      </c>
      <c r="T45" s="46">
        <f t="shared" si="6"/>
        <v>84000</v>
      </c>
      <c r="U45" s="46"/>
      <c r="V45" s="46" t="e">
        <f t="shared" si="12"/>
        <v>#DIV/0!</v>
      </c>
      <c r="W45" s="46" t="e">
        <f t="shared" si="13"/>
        <v>#DIV/0!</v>
      </c>
      <c r="X45" s="46"/>
      <c r="Y45" s="46"/>
      <c r="Z45" s="46"/>
    </row>
    <row r="46" spans="1:26" s="47" customFormat="1" ht="14.25" customHeight="1">
      <c r="A46" s="43">
        <v>55</v>
      </c>
      <c r="B46" s="43" t="s">
        <v>91</v>
      </c>
      <c r="C46" s="43" t="s">
        <v>208</v>
      </c>
      <c r="D46" s="43" t="s">
        <v>28</v>
      </c>
      <c r="E46" s="43" t="s">
        <v>29</v>
      </c>
      <c r="F46" s="43" t="s">
        <v>29</v>
      </c>
      <c r="G46" s="43" t="s">
        <v>26</v>
      </c>
      <c r="H46" s="56">
        <v>1000</v>
      </c>
      <c r="I46" s="56" t="s">
        <v>26</v>
      </c>
      <c r="J46" s="56">
        <v>90</v>
      </c>
      <c r="K46" s="56">
        <v>150</v>
      </c>
      <c r="L46" s="43" t="s">
        <v>29</v>
      </c>
      <c r="M46" s="43" t="s">
        <v>26</v>
      </c>
      <c r="N46" s="43" t="s">
        <v>29</v>
      </c>
      <c r="O46" s="43" t="s">
        <v>29</v>
      </c>
      <c r="P46" s="43" t="s">
        <v>152</v>
      </c>
      <c r="Q46" s="43" t="s">
        <v>209</v>
      </c>
      <c r="R46" s="46"/>
      <c r="S46" s="46">
        <f t="shared" si="11"/>
        <v>120</v>
      </c>
      <c r="T46" s="46">
        <f t="shared" ref="T46:T76" si="14">S46*H46</f>
        <v>120000</v>
      </c>
      <c r="U46" s="46"/>
      <c r="V46" s="46" t="e">
        <f t="shared" si="12"/>
        <v>#DIV/0!</v>
      </c>
      <c r="W46" s="46" t="e">
        <f t="shared" si="13"/>
        <v>#DIV/0!</v>
      </c>
      <c r="X46" s="46"/>
      <c r="Y46" s="46"/>
      <c r="Z46" s="46"/>
    </row>
    <row r="47" spans="1:26" s="47" customFormat="1" ht="14.25" customHeight="1">
      <c r="A47" s="43">
        <v>55</v>
      </c>
      <c r="B47" s="43" t="s">
        <v>91</v>
      </c>
      <c r="C47" s="43" t="s">
        <v>210</v>
      </c>
      <c r="D47" s="43" t="s">
        <v>28</v>
      </c>
      <c r="E47" s="43" t="s">
        <v>29</v>
      </c>
      <c r="F47" s="43" t="s">
        <v>29</v>
      </c>
      <c r="G47" s="43" t="s">
        <v>26</v>
      </c>
      <c r="H47" s="56">
        <v>600</v>
      </c>
      <c r="I47" s="56" t="s">
        <v>26</v>
      </c>
      <c r="J47" s="56">
        <v>90</v>
      </c>
      <c r="K47" s="56">
        <v>150</v>
      </c>
      <c r="L47" s="43" t="s">
        <v>29</v>
      </c>
      <c r="M47" s="43" t="s">
        <v>26</v>
      </c>
      <c r="N47" s="43" t="s">
        <v>29</v>
      </c>
      <c r="O47" s="43" t="s">
        <v>29</v>
      </c>
      <c r="P47" s="43" t="s">
        <v>152</v>
      </c>
      <c r="Q47" s="43" t="s">
        <v>55</v>
      </c>
      <c r="R47" s="46"/>
      <c r="S47" s="46">
        <f t="shared" si="11"/>
        <v>120</v>
      </c>
      <c r="T47" s="46">
        <f t="shared" si="14"/>
        <v>72000</v>
      </c>
      <c r="U47" s="46"/>
      <c r="V47" s="46" t="e">
        <f t="shared" si="12"/>
        <v>#DIV/0!</v>
      </c>
      <c r="W47" s="46" t="e">
        <f t="shared" si="13"/>
        <v>#DIV/0!</v>
      </c>
      <c r="X47" s="46"/>
      <c r="Y47" s="46"/>
      <c r="Z47" s="46"/>
    </row>
    <row r="48" spans="1:26" s="47" customFormat="1" ht="14.25" customHeight="1">
      <c r="A48" s="43">
        <v>55</v>
      </c>
      <c r="B48" s="43" t="s">
        <v>91</v>
      </c>
      <c r="C48" s="43" t="s">
        <v>211</v>
      </c>
      <c r="D48" s="43" t="s">
        <v>28</v>
      </c>
      <c r="E48" s="43" t="s">
        <v>29</v>
      </c>
      <c r="F48" s="43" t="s">
        <v>29</v>
      </c>
      <c r="G48" s="43" t="s">
        <v>26</v>
      </c>
      <c r="H48" s="56">
        <v>800</v>
      </c>
      <c r="I48" s="56" t="s">
        <v>26</v>
      </c>
      <c r="J48" s="56">
        <v>90</v>
      </c>
      <c r="K48" s="56">
        <v>150</v>
      </c>
      <c r="L48" s="43" t="s">
        <v>29</v>
      </c>
      <c r="M48" s="43" t="s">
        <v>26</v>
      </c>
      <c r="N48" s="43" t="s">
        <v>29</v>
      </c>
      <c r="O48" s="43" t="s">
        <v>29</v>
      </c>
      <c r="P48" s="43" t="s">
        <v>152</v>
      </c>
      <c r="Q48" s="43" t="s">
        <v>212</v>
      </c>
      <c r="R48" s="46"/>
      <c r="S48" s="46">
        <f t="shared" si="11"/>
        <v>120</v>
      </c>
      <c r="T48" s="46">
        <f t="shared" si="14"/>
        <v>96000</v>
      </c>
      <c r="U48" s="46"/>
      <c r="V48" s="46" t="e">
        <f t="shared" si="12"/>
        <v>#DIV/0!</v>
      </c>
      <c r="W48" s="46" t="e">
        <f t="shared" si="13"/>
        <v>#DIV/0!</v>
      </c>
      <c r="X48" s="46"/>
      <c r="Y48" s="46"/>
      <c r="Z48" s="46"/>
    </row>
    <row r="49" spans="1:26" s="47" customFormat="1" ht="14.25" customHeight="1">
      <c r="A49" s="43">
        <v>55</v>
      </c>
      <c r="B49" s="43" t="s">
        <v>91</v>
      </c>
      <c r="C49" s="43" t="s">
        <v>154</v>
      </c>
      <c r="D49" s="43" t="s">
        <v>28</v>
      </c>
      <c r="E49" s="43" t="s">
        <v>29</v>
      </c>
      <c r="F49" s="43" t="s">
        <v>29</v>
      </c>
      <c r="G49" s="43" t="s">
        <v>26</v>
      </c>
      <c r="H49" s="56">
        <v>500</v>
      </c>
      <c r="I49" s="56" t="s">
        <v>26</v>
      </c>
      <c r="J49" s="56">
        <v>90</v>
      </c>
      <c r="K49" s="56">
        <v>150</v>
      </c>
      <c r="L49" s="43" t="s">
        <v>29</v>
      </c>
      <c r="M49" s="43" t="s">
        <v>26</v>
      </c>
      <c r="N49" s="43" t="s">
        <v>29</v>
      </c>
      <c r="O49" s="43" t="s">
        <v>29</v>
      </c>
      <c r="P49" s="43" t="s">
        <v>152</v>
      </c>
      <c r="Q49" s="43" t="s">
        <v>213</v>
      </c>
      <c r="R49" s="46"/>
      <c r="S49" s="46">
        <f t="shared" si="11"/>
        <v>120</v>
      </c>
      <c r="T49" s="46">
        <f t="shared" si="14"/>
        <v>60000</v>
      </c>
      <c r="U49" s="46"/>
      <c r="V49" s="46" t="e">
        <f t="shared" si="12"/>
        <v>#DIV/0!</v>
      </c>
      <c r="W49" s="46" t="e">
        <f t="shared" si="13"/>
        <v>#DIV/0!</v>
      </c>
      <c r="X49" s="46"/>
      <c r="Y49" s="46"/>
      <c r="Z49" s="46"/>
    </row>
    <row r="50" spans="1:26" s="47" customFormat="1" ht="14.25" customHeight="1">
      <c r="A50" s="43">
        <v>55</v>
      </c>
      <c r="B50" s="43" t="s">
        <v>91</v>
      </c>
      <c r="C50" s="43" t="s">
        <v>214</v>
      </c>
      <c r="D50" s="43" t="s">
        <v>28</v>
      </c>
      <c r="E50" s="43" t="s">
        <v>29</v>
      </c>
      <c r="F50" s="43" t="s">
        <v>29</v>
      </c>
      <c r="G50" s="43" t="s">
        <v>26</v>
      </c>
      <c r="H50" s="56">
        <v>600</v>
      </c>
      <c r="I50" s="56" t="s">
        <v>26</v>
      </c>
      <c r="J50" s="56">
        <v>90</v>
      </c>
      <c r="K50" s="56">
        <v>150</v>
      </c>
      <c r="L50" s="43" t="s">
        <v>29</v>
      </c>
      <c r="M50" s="43" t="s">
        <v>26</v>
      </c>
      <c r="N50" s="43" t="s">
        <v>29</v>
      </c>
      <c r="O50" s="43" t="s">
        <v>29</v>
      </c>
      <c r="P50" s="43" t="s">
        <v>152</v>
      </c>
      <c r="Q50" s="43" t="s">
        <v>215</v>
      </c>
      <c r="R50" s="46"/>
      <c r="S50" s="46">
        <f t="shared" si="11"/>
        <v>120</v>
      </c>
      <c r="T50" s="46">
        <f t="shared" si="14"/>
        <v>72000</v>
      </c>
      <c r="U50" s="46"/>
      <c r="V50" s="46" t="e">
        <f t="shared" si="12"/>
        <v>#DIV/0!</v>
      </c>
      <c r="W50" s="46" t="e">
        <f t="shared" si="13"/>
        <v>#DIV/0!</v>
      </c>
      <c r="X50" s="46"/>
      <c r="Y50" s="46"/>
      <c r="Z50" s="46"/>
    </row>
    <row r="51" spans="1:26" s="47" customFormat="1" ht="14.25" customHeight="1">
      <c r="A51" s="43">
        <v>56</v>
      </c>
      <c r="B51" s="42" t="s">
        <v>67</v>
      </c>
      <c r="C51" s="42" t="s">
        <v>216</v>
      </c>
      <c r="D51" s="43" t="s">
        <v>29</v>
      </c>
      <c r="E51" s="43" t="s">
        <v>29</v>
      </c>
      <c r="F51" s="43">
        <v>500</v>
      </c>
      <c r="G51" s="43" t="s">
        <v>26</v>
      </c>
      <c r="H51" s="44">
        <v>2000</v>
      </c>
      <c r="I51" s="43" t="s">
        <v>26</v>
      </c>
      <c r="J51" s="104">
        <v>142</v>
      </c>
      <c r="K51" s="105" t="s">
        <v>29</v>
      </c>
      <c r="L51" s="43" t="s">
        <v>29</v>
      </c>
      <c r="M51" s="43" t="s">
        <v>26</v>
      </c>
      <c r="N51" s="43" t="s">
        <v>29</v>
      </c>
      <c r="O51" s="43" t="s">
        <v>29</v>
      </c>
      <c r="P51" s="43" t="s">
        <v>175</v>
      </c>
      <c r="Q51" s="42" t="s">
        <v>217</v>
      </c>
      <c r="R51" s="46"/>
      <c r="S51" s="106">
        <f t="shared" si="11"/>
        <v>142</v>
      </c>
      <c r="T51" s="46">
        <f t="shared" si="14"/>
        <v>284000</v>
      </c>
      <c r="U51" s="46"/>
      <c r="V51" s="46" t="e">
        <f t="shared" si="12"/>
        <v>#DIV/0!</v>
      </c>
      <c r="W51" s="46" t="e">
        <f t="shared" si="13"/>
        <v>#DIV/0!</v>
      </c>
      <c r="X51" s="46"/>
      <c r="Y51" s="46"/>
      <c r="Z51" s="46"/>
    </row>
    <row r="52" spans="1:26" s="47" customFormat="1" ht="14.25" customHeight="1">
      <c r="A52" s="43">
        <v>56</v>
      </c>
      <c r="B52" s="42" t="s">
        <v>67</v>
      </c>
      <c r="C52" s="42" t="s">
        <v>218</v>
      </c>
      <c r="D52" s="43" t="s">
        <v>29</v>
      </c>
      <c r="E52" s="43" t="s">
        <v>29</v>
      </c>
      <c r="F52" s="43" t="s">
        <v>29</v>
      </c>
      <c r="G52" s="43" t="s">
        <v>26</v>
      </c>
      <c r="H52" s="44">
        <v>1200</v>
      </c>
      <c r="I52" s="43" t="s">
        <v>26</v>
      </c>
      <c r="J52" s="104">
        <v>120</v>
      </c>
      <c r="K52" s="104">
        <v>140</v>
      </c>
      <c r="L52" s="43" t="s">
        <v>29</v>
      </c>
      <c r="M52" s="43" t="s">
        <v>26</v>
      </c>
      <c r="N52" s="43" t="s">
        <v>29</v>
      </c>
      <c r="O52" s="43" t="s">
        <v>29</v>
      </c>
      <c r="P52" s="43" t="s">
        <v>219</v>
      </c>
      <c r="Q52" s="42" t="s">
        <v>220</v>
      </c>
      <c r="R52" s="46"/>
      <c r="S52" s="106">
        <f t="shared" si="11"/>
        <v>130</v>
      </c>
      <c r="T52" s="46">
        <f t="shared" si="14"/>
        <v>156000</v>
      </c>
      <c r="U52" s="46"/>
      <c r="V52" s="46" t="e">
        <f t="shared" si="12"/>
        <v>#DIV/0!</v>
      </c>
      <c r="W52" s="46" t="e">
        <f t="shared" si="13"/>
        <v>#DIV/0!</v>
      </c>
      <c r="X52" s="46"/>
      <c r="Y52" s="46"/>
      <c r="Z52" s="46"/>
    </row>
    <row r="53" spans="1:26" s="47" customFormat="1" ht="14.25" customHeight="1">
      <c r="A53" s="43">
        <v>56</v>
      </c>
      <c r="B53" s="42" t="s">
        <v>67</v>
      </c>
      <c r="C53" s="42" t="s">
        <v>218</v>
      </c>
      <c r="D53" s="43" t="s">
        <v>29</v>
      </c>
      <c r="E53" s="43" t="s">
        <v>29</v>
      </c>
      <c r="F53" s="43" t="s">
        <v>29</v>
      </c>
      <c r="G53" s="43" t="s">
        <v>26</v>
      </c>
      <c r="H53" s="44">
        <v>800</v>
      </c>
      <c r="I53" s="43" t="s">
        <v>26</v>
      </c>
      <c r="J53" s="104">
        <v>120</v>
      </c>
      <c r="K53" s="104">
        <v>140</v>
      </c>
      <c r="L53" s="43" t="s">
        <v>29</v>
      </c>
      <c r="M53" s="43" t="s">
        <v>26</v>
      </c>
      <c r="N53" s="43" t="s">
        <v>29</v>
      </c>
      <c r="O53" s="43" t="s">
        <v>29</v>
      </c>
      <c r="P53" s="43" t="s">
        <v>51</v>
      </c>
      <c r="Q53" s="42" t="s">
        <v>221</v>
      </c>
      <c r="R53" s="46"/>
      <c r="S53" s="106">
        <f t="shared" si="11"/>
        <v>130</v>
      </c>
      <c r="T53" s="46">
        <f t="shared" si="14"/>
        <v>104000</v>
      </c>
      <c r="U53" s="46"/>
      <c r="V53" s="46" t="e">
        <f t="shared" si="12"/>
        <v>#DIV/0!</v>
      </c>
      <c r="W53" s="46" t="e">
        <f t="shared" si="13"/>
        <v>#DIV/0!</v>
      </c>
      <c r="X53" s="46"/>
      <c r="Y53" s="46"/>
      <c r="Z53" s="46"/>
    </row>
    <row r="54" spans="1:26" s="47" customFormat="1" ht="14.25" customHeight="1">
      <c r="A54" s="43">
        <v>56</v>
      </c>
      <c r="B54" s="42" t="s">
        <v>67</v>
      </c>
      <c r="C54" s="42" t="s">
        <v>222</v>
      </c>
      <c r="D54" s="43" t="s">
        <v>29</v>
      </c>
      <c r="E54" s="43" t="s">
        <v>29</v>
      </c>
      <c r="F54" s="43" t="s">
        <v>29</v>
      </c>
      <c r="G54" s="43" t="s">
        <v>26</v>
      </c>
      <c r="H54" s="44">
        <v>900</v>
      </c>
      <c r="I54" s="43" t="s">
        <v>26</v>
      </c>
      <c r="J54" s="104">
        <v>110</v>
      </c>
      <c r="K54" s="104">
        <v>145</v>
      </c>
      <c r="L54" s="43" t="s">
        <v>29</v>
      </c>
      <c r="M54" s="43" t="s">
        <v>26</v>
      </c>
      <c r="N54" s="43" t="s">
        <v>29</v>
      </c>
      <c r="O54" s="43" t="s">
        <v>29</v>
      </c>
      <c r="P54" s="43" t="s">
        <v>223</v>
      </c>
      <c r="Q54" s="42" t="s">
        <v>224</v>
      </c>
      <c r="R54" s="46"/>
      <c r="S54" s="106">
        <f t="shared" si="11"/>
        <v>127.5</v>
      </c>
      <c r="T54" s="46">
        <f t="shared" si="14"/>
        <v>114750</v>
      </c>
      <c r="U54" s="46"/>
      <c r="V54" s="46" t="e">
        <f t="shared" si="12"/>
        <v>#DIV/0!</v>
      </c>
      <c r="W54" s="46" t="e">
        <f t="shared" si="13"/>
        <v>#DIV/0!</v>
      </c>
      <c r="X54" s="46"/>
      <c r="Y54" s="46"/>
      <c r="Z54" s="46"/>
    </row>
    <row r="55" spans="1:26" s="47" customFormat="1" ht="14.25" customHeight="1">
      <c r="A55" s="43">
        <v>56</v>
      </c>
      <c r="B55" s="42" t="s">
        <v>67</v>
      </c>
      <c r="C55" s="42" t="s">
        <v>225</v>
      </c>
      <c r="D55" s="43" t="s">
        <v>29</v>
      </c>
      <c r="E55" s="43" t="s">
        <v>29</v>
      </c>
      <c r="F55" s="43" t="s">
        <v>29</v>
      </c>
      <c r="G55" s="43" t="s">
        <v>26</v>
      </c>
      <c r="H55" s="44">
        <v>300</v>
      </c>
      <c r="I55" s="43" t="s">
        <v>26</v>
      </c>
      <c r="J55" s="104">
        <v>100</v>
      </c>
      <c r="K55" s="104">
        <v>135</v>
      </c>
      <c r="L55" s="43" t="s">
        <v>29</v>
      </c>
      <c r="M55" s="43" t="s">
        <v>26</v>
      </c>
      <c r="N55" s="43" t="s">
        <v>29</v>
      </c>
      <c r="O55" s="43" t="s">
        <v>29</v>
      </c>
      <c r="P55" s="43" t="s">
        <v>175</v>
      </c>
      <c r="Q55" s="42" t="s">
        <v>226</v>
      </c>
      <c r="R55" s="46"/>
      <c r="S55" s="106">
        <f t="shared" si="11"/>
        <v>117.5</v>
      </c>
      <c r="T55" s="46">
        <f t="shared" si="14"/>
        <v>35250</v>
      </c>
      <c r="U55" s="46"/>
      <c r="V55" s="46" t="e">
        <f t="shared" si="12"/>
        <v>#DIV/0!</v>
      </c>
      <c r="W55" s="46" t="e">
        <f t="shared" si="13"/>
        <v>#DIV/0!</v>
      </c>
      <c r="X55" s="46"/>
      <c r="Y55" s="46"/>
      <c r="Z55" s="46"/>
    </row>
    <row r="56" spans="1:26" s="47" customFormat="1" ht="14.25" customHeight="1">
      <c r="A56" s="43">
        <v>56</v>
      </c>
      <c r="B56" s="42" t="s">
        <v>67</v>
      </c>
      <c r="C56" s="42" t="s">
        <v>227</v>
      </c>
      <c r="D56" s="43" t="s">
        <v>29</v>
      </c>
      <c r="E56" s="43" t="s">
        <v>29</v>
      </c>
      <c r="F56" s="43" t="s">
        <v>29</v>
      </c>
      <c r="G56" s="43" t="s">
        <v>26</v>
      </c>
      <c r="H56" s="44">
        <v>700</v>
      </c>
      <c r="I56" s="43" t="s">
        <v>26</v>
      </c>
      <c r="J56" s="104">
        <v>135</v>
      </c>
      <c r="K56" s="104" t="s">
        <v>29</v>
      </c>
      <c r="L56" s="43" t="s">
        <v>29</v>
      </c>
      <c r="M56" s="43" t="s">
        <v>26</v>
      </c>
      <c r="N56" s="43" t="s">
        <v>29</v>
      </c>
      <c r="O56" s="43" t="s">
        <v>29</v>
      </c>
      <c r="P56" s="43" t="s">
        <v>175</v>
      </c>
      <c r="Q56" s="42" t="s">
        <v>228</v>
      </c>
      <c r="R56" s="46"/>
      <c r="S56" s="106">
        <f t="shared" si="11"/>
        <v>135</v>
      </c>
      <c r="T56" s="46">
        <f t="shared" si="14"/>
        <v>94500</v>
      </c>
      <c r="U56" s="46"/>
      <c r="V56" s="46" t="e">
        <f t="shared" si="12"/>
        <v>#DIV/0!</v>
      </c>
      <c r="W56" s="46" t="e">
        <f t="shared" si="13"/>
        <v>#DIV/0!</v>
      </c>
      <c r="X56" s="46"/>
      <c r="Y56" s="46"/>
      <c r="Z56" s="46"/>
    </row>
    <row r="57" spans="1:26" s="47" customFormat="1" ht="14.25" customHeight="1">
      <c r="A57" s="43">
        <v>56</v>
      </c>
      <c r="B57" s="42" t="s">
        <v>67</v>
      </c>
      <c r="C57" s="42" t="s">
        <v>229</v>
      </c>
      <c r="D57" s="43" t="s">
        <v>29</v>
      </c>
      <c r="E57" s="43" t="s">
        <v>29</v>
      </c>
      <c r="F57" s="43" t="s">
        <v>29</v>
      </c>
      <c r="G57" s="43" t="s">
        <v>26</v>
      </c>
      <c r="H57" s="44">
        <v>400</v>
      </c>
      <c r="I57" s="43" t="s">
        <v>26</v>
      </c>
      <c r="J57" s="104">
        <v>120</v>
      </c>
      <c r="K57" s="104">
        <v>140</v>
      </c>
      <c r="L57" s="43" t="s">
        <v>29</v>
      </c>
      <c r="M57" s="43" t="s">
        <v>26</v>
      </c>
      <c r="N57" s="43" t="s">
        <v>29</v>
      </c>
      <c r="O57" s="43" t="s">
        <v>29</v>
      </c>
      <c r="P57" s="43" t="s">
        <v>175</v>
      </c>
      <c r="Q57" s="42" t="s">
        <v>230</v>
      </c>
      <c r="R57" s="46"/>
      <c r="S57" s="106">
        <f t="shared" si="11"/>
        <v>130</v>
      </c>
      <c r="T57" s="46">
        <f t="shared" si="14"/>
        <v>52000</v>
      </c>
      <c r="U57" s="46"/>
      <c r="V57" s="46" t="e">
        <f t="shared" si="12"/>
        <v>#DIV/0!</v>
      </c>
      <c r="W57" s="46" t="e">
        <f t="shared" si="13"/>
        <v>#DIV/0!</v>
      </c>
      <c r="X57" s="46"/>
      <c r="Y57" s="46"/>
      <c r="Z57" s="46"/>
    </row>
    <row r="58" spans="1:26" s="47" customFormat="1" ht="14.25" customHeight="1">
      <c r="A58" s="43">
        <v>56</v>
      </c>
      <c r="B58" s="42" t="s">
        <v>67</v>
      </c>
      <c r="C58" s="42" t="s">
        <v>222</v>
      </c>
      <c r="D58" s="43" t="s">
        <v>29</v>
      </c>
      <c r="E58" s="43" t="s">
        <v>29</v>
      </c>
      <c r="F58" s="43" t="s">
        <v>29</v>
      </c>
      <c r="G58" s="43" t="s">
        <v>26</v>
      </c>
      <c r="H58" s="44">
        <v>250</v>
      </c>
      <c r="I58" s="43" t="s">
        <v>26</v>
      </c>
      <c r="J58" s="104">
        <v>120</v>
      </c>
      <c r="K58" s="104">
        <v>130</v>
      </c>
      <c r="L58" s="43" t="s">
        <v>29</v>
      </c>
      <c r="M58" s="43" t="s">
        <v>26</v>
      </c>
      <c r="N58" s="43" t="s">
        <v>29</v>
      </c>
      <c r="O58" s="43" t="s">
        <v>29</v>
      </c>
      <c r="P58" s="43" t="s">
        <v>175</v>
      </c>
      <c r="Q58" s="42" t="s">
        <v>231</v>
      </c>
      <c r="R58" s="46"/>
      <c r="S58" s="106">
        <f t="shared" si="11"/>
        <v>125</v>
      </c>
      <c r="T58" s="46">
        <f t="shared" si="14"/>
        <v>31250</v>
      </c>
      <c r="U58" s="46"/>
      <c r="V58" s="46" t="e">
        <f t="shared" si="12"/>
        <v>#DIV/0!</v>
      </c>
      <c r="W58" s="46" t="e">
        <f t="shared" si="13"/>
        <v>#DIV/0!</v>
      </c>
      <c r="X58" s="46"/>
      <c r="Y58" s="46"/>
      <c r="Z58" s="46"/>
    </row>
    <row r="59" spans="1:26" s="47" customFormat="1" ht="14.25" customHeight="1">
      <c r="A59" s="43">
        <v>56</v>
      </c>
      <c r="B59" s="42" t="s">
        <v>232</v>
      </c>
      <c r="C59" s="42" t="s">
        <v>154</v>
      </c>
      <c r="D59" s="43" t="s">
        <v>29</v>
      </c>
      <c r="E59" s="43" t="s">
        <v>29</v>
      </c>
      <c r="F59" s="43" t="s">
        <v>29</v>
      </c>
      <c r="G59" s="43" t="s">
        <v>26</v>
      </c>
      <c r="H59" s="44">
        <v>1200</v>
      </c>
      <c r="I59" s="43" t="s">
        <v>26</v>
      </c>
      <c r="J59" s="104">
        <v>45</v>
      </c>
      <c r="K59" s="104">
        <v>85</v>
      </c>
      <c r="L59" s="43" t="s">
        <v>29</v>
      </c>
      <c r="M59" s="43" t="s">
        <v>26</v>
      </c>
      <c r="N59" s="43" t="s">
        <v>29</v>
      </c>
      <c r="O59" s="43" t="s">
        <v>29</v>
      </c>
      <c r="P59" s="43" t="s">
        <v>175</v>
      </c>
      <c r="Q59" s="42" t="s">
        <v>233</v>
      </c>
      <c r="R59" s="46"/>
      <c r="S59" s="106">
        <f t="shared" si="11"/>
        <v>65</v>
      </c>
      <c r="T59" s="46">
        <f t="shared" si="14"/>
        <v>78000</v>
      </c>
      <c r="U59" s="46"/>
      <c r="V59" s="46" t="e">
        <f t="shared" si="12"/>
        <v>#DIV/0!</v>
      </c>
      <c r="W59" s="46" t="e">
        <f t="shared" si="13"/>
        <v>#DIV/0!</v>
      </c>
      <c r="X59" s="46"/>
      <c r="Y59" s="46"/>
      <c r="Z59" s="46"/>
    </row>
    <row r="60" spans="1:26" s="47" customFormat="1" ht="14.25" customHeight="1">
      <c r="A60" s="43">
        <v>56</v>
      </c>
      <c r="B60" s="42" t="s">
        <v>232</v>
      </c>
      <c r="C60" s="42" t="s">
        <v>79</v>
      </c>
      <c r="D60" s="43" t="s">
        <v>29</v>
      </c>
      <c r="E60" s="43" t="s">
        <v>29</v>
      </c>
      <c r="F60" s="43" t="s">
        <v>29</v>
      </c>
      <c r="G60" s="43" t="s">
        <v>26</v>
      </c>
      <c r="H60" s="44">
        <v>2100</v>
      </c>
      <c r="I60" s="43" t="s">
        <v>26</v>
      </c>
      <c r="J60" s="104">
        <v>137</v>
      </c>
      <c r="K60" s="104" t="s">
        <v>29</v>
      </c>
      <c r="L60" s="43" t="s">
        <v>29</v>
      </c>
      <c r="M60" s="43" t="s">
        <v>26</v>
      </c>
      <c r="N60" s="43" t="s">
        <v>29</v>
      </c>
      <c r="O60" s="43" t="s">
        <v>29</v>
      </c>
      <c r="P60" s="43" t="s">
        <v>223</v>
      </c>
      <c r="Q60" s="42" t="s">
        <v>234</v>
      </c>
      <c r="R60" s="46"/>
      <c r="S60" s="106">
        <f t="shared" si="11"/>
        <v>137</v>
      </c>
      <c r="T60" s="46">
        <f t="shared" si="14"/>
        <v>287700</v>
      </c>
      <c r="U60" s="46"/>
      <c r="V60" s="46" t="e">
        <f t="shared" si="12"/>
        <v>#DIV/0!</v>
      </c>
      <c r="W60" s="46" t="e">
        <f t="shared" si="13"/>
        <v>#DIV/0!</v>
      </c>
      <c r="X60" s="46"/>
      <c r="Y60" s="46"/>
      <c r="Z60" s="46"/>
    </row>
    <row r="61" spans="1:26" s="47" customFormat="1" ht="14.25" customHeight="1">
      <c r="A61" s="43">
        <v>56</v>
      </c>
      <c r="B61" s="42" t="s">
        <v>232</v>
      </c>
      <c r="C61" s="42" t="s">
        <v>235</v>
      </c>
      <c r="D61" s="43" t="s">
        <v>29</v>
      </c>
      <c r="E61" s="43" t="s">
        <v>29</v>
      </c>
      <c r="F61" s="43" t="s">
        <v>29</v>
      </c>
      <c r="G61" s="43" t="s">
        <v>26</v>
      </c>
      <c r="H61" s="44">
        <v>3500</v>
      </c>
      <c r="I61" s="43" t="s">
        <v>26</v>
      </c>
      <c r="J61" s="104">
        <v>130</v>
      </c>
      <c r="K61" s="104">
        <v>150</v>
      </c>
      <c r="L61" s="43" t="s">
        <v>29</v>
      </c>
      <c r="M61" s="43" t="s">
        <v>26</v>
      </c>
      <c r="N61" s="43" t="s">
        <v>29</v>
      </c>
      <c r="O61" s="43" t="s">
        <v>29</v>
      </c>
      <c r="P61" s="43" t="s">
        <v>223</v>
      </c>
      <c r="Q61" s="42" t="s">
        <v>236</v>
      </c>
      <c r="R61" s="46"/>
      <c r="S61" s="106">
        <f t="shared" si="11"/>
        <v>140</v>
      </c>
      <c r="T61" s="46">
        <f t="shared" si="14"/>
        <v>490000</v>
      </c>
      <c r="U61" s="46"/>
      <c r="V61" s="46" t="e">
        <f t="shared" si="12"/>
        <v>#DIV/0!</v>
      </c>
      <c r="W61" s="46" t="e">
        <f t="shared" si="13"/>
        <v>#DIV/0!</v>
      </c>
      <c r="X61" s="46"/>
      <c r="Y61" s="46"/>
      <c r="Z61" s="46"/>
    </row>
    <row r="62" spans="1:26" s="47" customFormat="1" ht="14.25" customHeight="1">
      <c r="A62" s="43">
        <v>56</v>
      </c>
      <c r="B62" s="42" t="s">
        <v>232</v>
      </c>
      <c r="C62" s="42" t="s">
        <v>237</v>
      </c>
      <c r="D62" s="43" t="s">
        <v>29</v>
      </c>
      <c r="E62" s="43" t="s">
        <v>29</v>
      </c>
      <c r="F62" s="43" t="s">
        <v>29</v>
      </c>
      <c r="G62" s="43" t="s">
        <v>26</v>
      </c>
      <c r="H62" s="44">
        <v>500</v>
      </c>
      <c r="I62" s="43" t="s">
        <v>26</v>
      </c>
      <c r="J62" s="104">
        <v>130</v>
      </c>
      <c r="K62" s="104">
        <v>140</v>
      </c>
      <c r="L62" s="43" t="s">
        <v>29</v>
      </c>
      <c r="M62" s="43" t="s">
        <v>26</v>
      </c>
      <c r="N62" s="43" t="s">
        <v>29</v>
      </c>
      <c r="O62" s="43" t="s">
        <v>29</v>
      </c>
      <c r="P62" s="43" t="s">
        <v>223</v>
      </c>
      <c r="Q62" s="42" t="s">
        <v>234</v>
      </c>
      <c r="R62" s="46"/>
      <c r="S62" s="106">
        <f t="shared" si="11"/>
        <v>135</v>
      </c>
      <c r="T62" s="46">
        <f t="shared" si="14"/>
        <v>67500</v>
      </c>
      <c r="U62" s="46"/>
      <c r="V62" s="46" t="e">
        <f t="shared" si="12"/>
        <v>#DIV/0!</v>
      </c>
      <c r="W62" s="46" t="e">
        <f t="shared" si="13"/>
        <v>#DIV/0!</v>
      </c>
      <c r="X62" s="46"/>
      <c r="Y62" s="46"/>
      <c r="Z62" s="46"/>
    </row>
    <row r="63" spans="1:26" s="47" customFormat="1" ht="14.25" customHeight="1">
      <c r="A63" s="43">
        <v>56</v>
      </c>
      <c r="B63" s="42" t="s">
        <v>232</v>
      </c>
      <c r="C63" s="42" t="s">
        <v>238</v>
      </c>
      <c r="D63" s="43" t="s">
        <v>29</v>
      </c>
      <c r="E63" s="43" t="s">
        <v>29</v>
      </c>
      <c r="F63" s="43" t="s">
        <v>29</v>
      </c>
      <c r="G63" s="43" t="s">
        <v>26</v>
      </c>
      <c r="H63" s="44">
        <v>600</v>
      </c>
      <c r="I63" s="43" t="s">
        <v>26</v>
      </c>
      <c r="J63" s="104">
        <v>130</v>
      </c>
      <c r="K63" s="104">
        <v>145</v>
      </c>
      <c r="L63" s="43" t="s">
        <v>29</v>
      </c>
      <c r="M63" s="43" t="s">
        <v>26</v>
      </c>
      <c r="N63" s="43" t="s">
        <v>29</v>
      </c>
      <c r="O63" s="43" t="s">
        <v>29</v>
      </c>
      <c r="P63" s="43" t="s">
        <v>51</v>
      </c>
      <c r="Q63" s="42" t="s">
        <v>239</v>
      </c>
      <c r="R63" s="46"/>
      <c r="S63" s="106">
        <f t="shared" si="11"/>
        <v>137.5</v>
      </c>
      <c r="T63" s="46">
        <f t="shared" si="14"/>
        <v>82500</v>
      </c>
      <c r="U63" s="46"/>
      <c r="V63" s="46" t="e">
        <f t="shared" si="12"/>
        <v>#DIV/0!</v>
      </c>
      <c r="W63" s="46" t="e">
        <f t="shared" si="13"/>
        <v>#DIV/0!</v>
      </c>
      <c r="X63" s="46"/>
      <c r="Y63" s="46"/>
      <c r="Z63" s="46"/>
    </row>
    <row r="64" spans="1:26" s="47" customFormat="1" ht="14.25" customHeight="1">
      <c r="A64" s="43">
        <v>56</v>
      </c>
      <c r="B64" s="42" t="s">
        <v>232</v>
      </c>
      <c r="C64" s="42" t="s">
        <v>240</v>
      </c>
      <c r="D64" s="43" t="s">
        <v>29</v>
      </c>
      <c r="E64" s="43" t="s">
        <v>29</v>
      </c>
      <c r="F64" s="43" t="s">
        <v>29</v>
      </c>
      <c r="G64" s="43" t="s">
        <v>26</v>
      </c>
      <c r="H64" s="44">
        <v>700</v>
      </c>
      <c r="I64" s="43" t="s">
        <v>26</v>
      </c>
      <c r="J64" s="104">
        <v>130</v>
      </c>
      <c r="K64" s="104">
        <v>145</v>
      </c>
      <c r="L64" s="43" t="s">
        <v>29</v>
      </c>
      <c r="M64" s="43" t="s">
        <v>26</v>
      </c>
      <c r="N64" s="43" t="s">
        <v>29</v>
      </c>
      <c r="O64" s="43" t="s">
        <v>29</v>
      </c>
      <c r="P64" s="43" t="s">
        <v>175</v>
      </c>
      <c r="Q64" s="42" t="s">
        <v>241</v>
      </c>
      <c r="R64" s="46"/>
      <c r="S64" s="106">
        <f t="shared" si="11"/>
        <v>137.5</v>
      </c>
      <c r="T64" s="46">
        <f t="shared" si="14"/>
        <v>96250</v>
      </c>
      <c r="U64" s="46"/>
      <c r="V64" s="46" t="e">
        <f t="shared" si="12"/>
        <v>#DIV/0!</v>
      </c>
      <c r="W64" s="46" t="e">
        <f t="shared" si="13"/>
        <v>#DIV/0!</v>
      </c>
      <c r="X64" s="46"/>
      <c r="Y64" s="46"/>
      <c r="Z64" s="46"/>
    </row>
    <row r="65" spans="1:26" s="47" customFormat="1" ht="14.25" customHeight="1">
      <c r="A65" s="43">
        <v>56</v>
      </c>
      <c r="B65" s="42" t="s">
        <v>232</v>
      </c>
      <c r="C65" s="42" t="s">
        <v>242</v>
      </c>
      <c r="D65" s="43" t="s">
        <v>29</v>
      </c>
      <c r="E65" s="43" t="s">
        <v>29</v>
      </c>
      <c r="F65" s="43" t="s">
        <v>29</v>
      </c>
      <c r="G65" s="43" t="s">
        <v>26</v>
      </c>
      <c r="H65" s="44">
        <v>400</v>
      </c>
      <c r="I65" s="43" t="s">
        <v>26</v>
      </c>
      <c r="J65" s="104">
        <v>50</v>
      </c>
      <c r="K65" s="104">
        <v>87</v>
      </c>
      <c r="L65" s="43" t="s">
        <v>29</v>
      </c>
      <c r="M65" s="43" t="s">
        <v>26</v>
      </c>
      <c r="N65" s="43" t="s">
        <v>29</v>
      </c>
      <c r="O65" s="43" t="s">
        <v>29</v>
      </c>
      <c r="P65" s="43" t="s">
        <v>175</v>
      </c>
      <c r="Q65" s="42" t="s">
        <v>243</v>
      </c>
      <c r="R65" s="46"/>
      <c r="S65" s="106">
        <f t="shared" si="11"/>
        <v>68.5</v>
      </c>
      <c r="T65" s="46">
        <f t="shared" si="14"/>
        <v>27400</v>
      </c>
      <c r="U65" s="46"/>
      <c r="V65" s="46" t="e">
        <f t="shared" si="12"/>
        <v>#DIV/0!</v>
      </c>
      <c r="W65" s="46" t="e">
        <f t="shared" si="13"/>
        <v>#DIV/0!</v>
      </c>
      <c r="X65" s="46"/>
      <c r="Y65" s="46"/>
      <c r="Z65" s="46"/>
    </row>
    <row r="66" spans="1:26" s="47" customFormat="1" ht="14.25" customHeight="1">
      <c r="A66" s="43">
        <v>56</v>
      </c>
      <c r="B66" s="42" t="s">
        <v>232</v>
      </c>
      <c r="C66" s="42" t="s">
        <v>244</v>
      </c>
      <c r="D66" s="43" t="s">
        <v>29</v>
      </c>
      <c r="E66" s="43" t="s">
        <v>29</v>
      </c>
      <c r="F66" s="43" t="s">
        <v>29</v>
      </c>
      <c r="G66" s="43" t="s">
        <v>26</v>
      </c>
      <c r="H66" s="43">
        <v>900</v>
      </c>
      <c r="I66" s="43" t="s">
        <v>26</v>
      </c>
      <c r="J66" s="104">
        <v>45</v>
      </c>
      <c r="K66" s="44">
        <v>85</v>
      </c>
      <c r="L66" s="43" t="s">
        <v>29</v>
      </c>
      <c r="M66" s="43" t="s">
        <v>26</v>
      </c>
      <c r="N66" s="43" t="s">
        <v>29</v>
      </c>
      <c r="O66" s="43" t="s">
        <v>29</v>
      </c>
      <c r="P66" s="43" t="s">
        <v>175</v>
      </c>
      <c r="Q66" s="43" t="s">
        <v>245</v>
      </c>
      <c r="R66" s="46"/>
      <c r="S66" s="106">
        <f t="shared" si="11"/>
        <v>65</v>
      </c>
      <c r="T66" s="46">
        <f t="shared" si="14"/>
        <v>58500</v>
      </c>
      <c r="U66" s="46"/>
      <c r="V66" s="46" t="e">
        <f t="shared" si="12"/>
        <v>#DIV/0!</v>
      </c>
      <c r="W66" s="46" t="e">
        <f t="shared" si="13"/>
        <v>#DIV/0!</v>
      </c>
      <c r="X66" s="46"/>
      <c r="Y66" s="46"/>
      <c r="Z66" s="46"/>
    </row>
    <row r="67" spans="1:26" s="47" customFormat="1" ht="14.25" customHeight="1">
      <c r="A67" s="43">
        <v>56</v>
      </c>
      <c r="B67" s="42" t="s">
        <v>232</v>
      </c>
      <c r="C67" s="42" t="s">
        <v>246</v>
      </c>
      <c r="D67" s="43" t="s">
        <v>29</v>
      </c>
      <c r="E67" s="43" t="s">
        <v>29</v>
      </c>
      <c r="F67" s="43" t="s">
        <v>29</v>
      </c>
      <c r="G67" s="43" t="s">
        <v>26</v>
      </c>
      <c r="H67" s="43">
        <v>1000</v>
      </c>
      <c r="I67" s="43" t="s">
        <v>26</v>
      </c>
      <c r="J67" s="104">
        <v>45</v>
      </c>
      <c r="K67" s="44">
        <v>87</v>
      </c>
      <c r="L67" s="43" t="s">
        <v>29</v>
      </c>
      <c r="M67" s="43" t="s">
        <v>26</v>
      </c>
      <c r="N67" s="43" t="s">
        <v>29</v>
      </c>
      <c r="O67" s="43" t="s">
        <v>29</v>
      </c>
      <c r="P67" s="43" t="s">
        <v>29</v>
      </c>
      <c r="Q67" s="43" t="s">
        <v>247</v>
      </c>
      <c r="R67" s="46"/>
      <c r="S67" s="106">
        <f t="shared" si="11"/>
        <v>66</v>
      </c>
      <c r="T67" s="46">
        <f t="shared" si="14"/>
        <v>66000</v>
      </c>
      <c r="U67" s="46"/>
      <c r="V67" s="46" t="e">
        <f t="shared" si="12"/>
        <v>#DIV/0!</v>
      </c>
      <c r="W67" s="46" t="e">
        <f t="shared" si="13"/>
        <v>#DIV/0!</v>
      </c>
      <c r="X67" s="46"/>
      <c r="Y67" s="46"/>
      <c r="Z67" s="46"/>
    </row>
    <row r="68" spans="1:26" s="47" customFormat="1" ht="14.25" customHeight="1">
      <c r="A68" s="43">
        <v>56</v>
      </c>
      <c r="B68" s="42" t="s">
        <v>248</v>
      </c>
      <c r="C68" s="42" t="s">
        <v>246</v>
      </c>
      <c r="D68" s="43" t="s">
        <v>29</v>
      </c>
      <c r="E68" s="43" t="s">
        <v>29</v>
      </c>
      <c r="F68" s="43" t="s">
        <v>29</v>
      </c>
      <c r="G68" s="43" t="s">
        <v>26</v>
      </c>
      <c r="H68" s="43">
        <v>1000</v>
      </c>
      <c r="I68" s="43" t="s">
        <v>26</v>
      </c>
      <c r="J68" s="104">
        <v>135</v>
      </c>
      <c r="K68" s="44">
        <v>150</v>
      </c>
      <c r="L68" s="43" t="s">
        <v>29</v>
      </c>
      <c r="M68" s="43" t="s">
        <v>26</v>
      </c>
      <c r="N68" s="43" t="s">
        <v>29</v>
      </c>
      <c r="O68" s="43" t="s">
        <v>29</v>
      </c>
      <c r="P68" s="43" t="s">
        <v>29</v>
      </c>
      <c r="Q68" s="43" t="s">
        <v>247</v>
      </c>
      <c r="R68" s="46"/>
      <c r="S68" s="106">
        <f t="shared" si="11"/>
        <v>142.5</v>
      </c>
      <c r="T68" s="46">
        <f t="shared" si="14"/>
        <v>142500</v>
      </c>
      <c r="U68" s="46"/>
      <c r="V68" s="46" t="e">
        <f t="shared" si="12"/>
        <v>#DIV/0!</v>
      </c>
      <c r="W68" s="46" t="e">
        <f t="shared" si="13"/>
        <v>#DIV/0!</v>
      </c>
      <c r="X68" s="46"/>
      <c r="Y68" s="46"/>
      <c r="Z68" s="46"/>
    </row>
    <row r="69" spans="1:26" s="47" customFormat="1" ht="14.25" customHeight="1">
      <c r="A69" s="43">
        <v>56</v>
      </c>
      <c r="B69" s="43" t="s">
        <v>69</v>
      </c>
      <c r="C69" s="42" t="s">
        <v>249</v>
      </c>
      <c r="D69" s="42" t="s">
        <v>131</v>
      </c>
      <c r="E69" s="43" t="s">
        <v>29</v>
      </c>
      <c r="F69" s="43">
        <f>300*60</f>
        <v>18000</v>
      </c>
      <c r="G69" s="43" t="s">
        <v>26</v>
      </c>
      <c r="H69" s="43">
        <f>200*60</f>
        <v>12000</v>
      </c>
      <c r="I69" s="43" t="s">
        <v>26</v>
      </c>
      <c r="J69" s="51">
        <f>520/60</f>
        <v>8.6666666666666661</v>
      </c>
      <c r="K69" s="43">
        <f>1200/60</f>
        <v>20</v>
      </c>
      <c r="L69" s="43" t="s">
        <v>29</v>
      </c>
      <c r="M69" s="43" t="s">
        <v>26</v>
      </c>
      <c r="N69" s="43" t="s">
        <v>29</v>
      </c>
      <c r="O69" s="43" t="s">
        <v>29</v>
      </c>
      <c r="P69" s="43" t="s">
        <v>51</v>
      </c>
      <c r="Q69" s="43" t="s">
        <v>250</v>
      </c>
      <c r="R69" s="46"/>
      <c r="S69" s="46">
        <f t="shared" ref="S69:S76" si="15">(AVERAGE(J69:K69))/60</f>
        <v>0.23888888888888887</v>
      </c>
      <c r="T69" s="46">
        <f t="shared" si="14"/>
        <v>2866.6666666666665</v>
      </c>
      <c r="U69" s="46"/>
      <c r="V69" s="46" t="e">
        <f t="shared" ref="V69:V99" si="16">AVERAGE(N69:O69)</f>
        <v>#DIV/0!</v>
      </c>
      <c r="W69" s="46" t="e">
        <f t="shared" ref="W69:W99" si="17">V69*L69</f>
        <v>#DIV/0!</v>
      </c>
      <c r="X69" s="46"/>
      <c r="Y69" s="46"/>
      <c r="Z69" s="46"/>
    </row>
    <row r="70" spans="1:26" s="47" customFormat="1" ht="14.25" customHeight="1">
      <c r="A70" s="43">
        <v>56</v>
      </c>
      <c r="B70" s="43" t="s">
        <v>69</v>
      </c>
      <c r="C70" s="42" t="s">
        <v>251</v>
      </c>
      <c r="D70" s="42" t="s">
        <v>131</v>
      </c>
      <c r="E70" s="43" t="s">
        <v>29</v>
      </c>
      <c r="F70" s="43">
        <f>80*60</f>
        <v>4800</v>
      </c>
      <c r="G70" s="43" t="s">
        <v>26</v>
      </c>
      <c r="H70" s="43">
        <f>220*60</f>
        <v>13200</v>
      </c>
      <c r="I70" s="43" t="s">
        <v>26</v>
      </c>
      <c r="J70" s="43">
        <f>930/60</f>
        <v>15.5</v>
      </c>
      <c r="K70" s="43">
        <f>1230/60</f>
        <v>20.5</v>
      </c>
      <c r="L70" s="56">
        <f>550*60</f>
        <v>33000</v>
      </c>
      <c r="M70" s="56" t="s">
        <v>26</v>
      </c>
      <c r="N70" s="56">
        <f>330/60</f>
        <v>5.5</v>
      </c>
      <c r="O70" s="57">
        <f>425/60</f>
        <v>7.083333333333333</v>
      </c>
      <c r="P70" s="43" t="s">
        <v>51</v>
      </c>
      <c r="Q70" s="43" t="s">
        <v>252</v>
      </c>
      <c r="R70" s="46"/>
      <c r="S70" s="46">
        <f t="shared" si="15"/>
        <v>0.3</v>
      </c>
      <c r="T70" s="46">
        <f t="shared" si="14"/>
        <v>3960</v>
      </c>
      <c r="U70" s="46"/>
      <c r="V70" s="46">
        <f t="shared" si="16"/>
        <v>6.2916666666666661</v>
      </c>
      <c r="W70" s="46">
        <f t="shared" si="17"/>
        <v>207624.99999999997</v>
      </c>
      <c r="X70" s="46"/>
      <c r="Y70" s="46"/>
      <c r="Z70" s="46"/>
    </row>
    <row r="71" spans="1:26" s="47" customFormat="1" ht="14.25" customHeight="1">
      <c r="A71" s="43">
        <v>56</v>
      </c>
      <c r="B71" s="43" t="s">
        <v>69</v>
      </c>
      <c r="C71" s="42" t="s">
        <v>251</v>
      </c>
      <c r="D71" s="42" t="s">
        <v>131</v>
      </c>
      <c r="E71" s="43" t="s">
        <v>29</v>
      </c>
      <c r="F71" s="43">
        <f>30*60</f>
        <v>1800</v>
      </c>
      <c r="G71" s="43" t="s">
        <v>26</v>
      </c>
      <c r="H71" s="43">
        <f>50*60</f>
        <v>3000</v>
      </c>
      <c r="I71" s="43" t="s">
        <v>26</v>
      </c>
      <c r="J71" s="51">
        <f>400/60</f>
        <v>6.666666666666667</v>
      </c>
      <c r="K71" s="51">
        <f>1000/60</f>
        <v>16.666666666666668</v>
      </c>
      <c r="L71" s="43" t="s">
        <v>29</v>
      </c>
      <c r="M71" s="56" t="s">
        <v>26</v>
      </c>
      <c r="N71" s="43" t="s">
        <v>29</v>
      </c>
      <c r="O71" s="43" t="s">
        <v>29</v>
      </c>
      <c r="P71" s="43" t="s">
        <v>253</v>
      </c>
      <c r="Q71" s="43" t="s">
        <v>220</v>
      </c>
      <c r="R71" s="46"/>
      <c r="S71" s="46">
        <f t="shared" si="15"/>
        <v>0.19444444444444448</v>
      </c>
      <c r="T71" s="46">
        <f t="shared" si="14"/>
        <v>583.33333333333337</v>
      </c>
      <c r="U71" s="46"/>
      <c r="V71" s="46" t="e">
        <f t="shared" si="16"/>
        <v>#DIV/0!</v>
      </c>
      <c r="W71" s="46" t="e">
        <f t="shared" si="17"/>
        <v>#DIV/0!</v>
      </c>
      <c r="X71" s="46"/>
      <c r="Y71" s="46"/>
      <c r="Z71" s="46"/>
    </row>
    <row r="72" spans="1:26" s="47" customFormat="1" ht="14.25" customHeight="1">
      <c r="A72" s="43">
        <v>56</v>
      </c>
      <c r="B72" s="43" t="s">
        <v>69</v>
      </c>
      <c r="C72" s="42" t="s">
        <v>251</v>
      </c>
      <c r="D72" s="42" t="s">
        <v>131</v>
      </c>
      <c r="E72" s="43" t="s">
        <v>29</v>
      </c>
      <c r="F72" s="43">
        <f t="shared" ref="F72" si="18">180*60</f>
        <v>10800</v>
      </c>
      <c r="G72" s="43" t="s">
        <v>26</v>
      </c>
      <c r="H72" s="43" t="s">
        <v>29</v>
      </c>
      <c r="I72" s="43" t="s">
        <v>29</v>
      </c>
      <c r="J72" s="51">
        <f>320/60</f>
        <v>5.333333333333333</v>
      </c>
      <c r="K72" s="43">
        <f>1200/60</f>
        <v>20</v>
      </c>
      <c r="L72" s="43" t="s">
        <v>29</v>
      </c>
      <c r="M72" s="56" t="s">
        <v>26</v>
      </c>
      <c r="N72" s="43" t="s">
        <v>29</v>
      </c>
      <c r="O72" s="43" t="s">
        <v>29</v>
      </c>
      <c r="P72" s="43" t="s">
        <v>253</v>
      </c>
      <c r="Q72" s="43" t="s">
        <v>254</v>
      </c>
      <c r="R72" s="46"/>
      <c r="S72" s="46">
        <f t="shared" si="15"/>
        <v>0.21111111111111111</v>
      </c>
      <c r="T72" s="46" t="e">
        <f t="shared" si="14"/>
        <v>#VALUE!</v>
      </c>
      <c r="U72" s="46"/>
      <c r="V72" s="46" t="e">
        <f t="shared" si="16"/>
        <v>#DIV/0!</v>
      </c>
      <c r="W72" s="46" t="e">
        <f t="shared" si="17"/>
        <v>#DIV/0!</v>
      </c>
      <c r="X72" s="46"/>
      <c r="Y72" s="46"/>
      <c r="Z72" s="46"/>
    </row>
    <row r="73" spans="1:26" s="47" customFormat="1" ht="14.25" customHeight="1">
      <c r="A73" s="43">
        <v>56</v>
      </c>
      <c r="B73" s="43" t="s">
        <v>69</v>
      </c>
      <c r="C73" s="42" t="s">
        <v>251</v>
      </c>
      <c r="D73" s="42" t="s">
        <v>131</v>
      </c>
      <c r="E73" s="43" t="s">
        <v>29</v>
      </c>
      <c r="F73" s="43">
        <f>180*60</f>
        <v>10800</v>
      </c>
      <c r="G73" s="43" t="s">
        <v>26</v>
      </c>
      <c r="H73" s="43">
        <f>70*60</f>
        <v>4200</v>
      </c>
      <c r="I73" s="43" t="s">
        <v>26</v>
      </c>
      <c r="J73" s="51">
        <f>650/60</f>
        <v>10.833333333333334</v>
      </c>
      <c r="K73" s="51">
        <f>1250/60</f>
        <v>20.833333333333332</v>
      </c>
      <c r="L73" s="43" t="s">
        <v>29</v>
      </c>
      <c r="M73" s="56" t="s">
        <v>26</v>
      </c>
      <c r="N73" s="43" t="s">
        <v>29</v>
      </c>
      <c r="O73" s="43" t="s">
        <v>29</v>
      </c>
      <c r="P73" s="43" t="s">
        <v>51</v>
      </c>
      <c r="Q73" s="43" t="s">
        <v>255</v>
      </c>
      <c r="R73" s="46"/>
      <c r="S73" s="46">
        <f t="shared" si="15"/>
        <v>0.2638888888888889</v>
      </c>
      <c r="T73" s="46">
        <f t="shared" si="14"/>
        <v>1108.3333333333333</v>
      </c>
      <c r="U73" s="46"/>
      <c r="V73" s="46" t="e">
        <f t="shared" si="16"/>
        <v>#DIV/0!</v>
      </c>
      <c r="W73" s="46" t="e">
        <f t="shared" si="17"/>
        <v>#DIV/0!</v>
      </c>
      <c r="X73" s="46"/>
      <c r="Y73" s="46"/>
      <c r="Z73" s="46"/>
    </row>
    <row r="74" spans="1:26" s="47" customFormat="1" ht="14.25" customHeight="1">
      <c r="A74" s="43">
        <v>56</v>
      </c>
      <c r="B74" s="43" t="s">
        <v>69</v>
      </c>
      <c r="C74" s="42" t="s">
        <v>256</v>
      </c>
      <c r="D74" s="42" t="s">
        <v>131</v>
      </c>
      <c r="E74" s="43" t="s">
        <v>29</v>
      </c>
      <c r="F74" s="43">
        <f>1138*60</f>
        <v>68280</v>
      </c>
      <c r="G74" s="43" t="s">
        <v>26</v>
      </c>
      <c r="H74" s="43" t="s">
        <v>29</v>
      </c>
      <c r="I74" s="43" t="s">
        <v>29</v>
      </c>
      <c r="J74" s="43">
        <f>300/60</f>
        <v>5</v>
      </c>
      <c r="K74" s="43">
        <f>1200/60</f>
        <v>20</v>
      </c>
      <c r="L74" s="43" t="s">
        <v>29</v>
      </c>
      <c r="M74" s="56" t="s">
        <v>26</v>
      </c>
      <c r="N74" s="43" t="s">
        <v>29</v>
      </c>
      <c r="O74" s="43" t="s">
        <v>29</v>
      </c>
      <c r="P74" s="43" t="s">
        <v>51</v>
      </c>
      <c r="Q74" s="43" t="s">
        <v>257</v>
      </c>
      <c r="R74" s="46"/>
      <c r="S74" s="46">
        <f t="shared" si="15"/>
        <v>0.20833333333333334</v>
      </c>
      <c r="T74" s="46" t="e">
        <f t="shared" si="14"/>
        <v>#VALUE!</v>
      </c>
      <c r="U74" s="46"/>
      <c r="V74" s="46" t="e">
        <f t="shared" si="16"/>
        <v>#DIV/0!</v>
      </c>
      <c r="W74" s="46" t="e">
        <f t="shared" si="17"/>
        <v>#DIV/0!</v>
      </c>
      <c r="X74" s="46"/>
      <c r="Y74" s="46"/>
      <c r="Z74" s="46"/>
    </row>
    <row r="75" spans="1:26" s="47" customFormat="1" ht="14.25" customHeight="1">
      <c r="A75" s="43">
        <v>56</v>
      </c>
      <c r="B75" s="43" t="s">
        <v>69</v>
      </c>
      <c r="C75" s="42" t="s">
        <v>258</v>
      </c>
      <c r="D75" s="42" t="s">
        <v>93</v>
      </c>
      <c r="E75" s="43" t="s">
        <v>29</v>
      </c>
      <c r="F75" s="43" t="s">
        <v>29</v>
      </c>
      <c r="G75" s="43" t="s">
        <v>26</v>
      </c>
      <c r="H75" s="43">
        <f>300*60</f>
        <v>18000</v>
      </c>
      <c r="I75" s="43" t="s">
        <v>26</v>
      </c>
      <c r="J75" s="51">
        <f>312.5/60</f>
        <v>5.208333333333333</v>
      </c>
      <c r="K75" s="51">
        <f>312.5/60</f>
        <v>5.208333333333333</v>
      </c>
      <c r="L75" s="43" t="s">
        <v>29</v>
      </c>
      <c r="M75" s="56" t="s">
        <v>26</v>
      </c>
      <c r="N75" s="43" t="s">
        <v>29</v>
      </c>
      <c r="O75" s="43" t="s">
        <v>29</v>
      </c>
      <c r="P75" s="43" t="s">
        <v>223</v>
      </c>
      <c r="Q75" s="43" t="s">
        <v>259</v>
      </c>
      <c r="R75" s="46"/>
      <c r="S75" s="46">
        <f t="shared" si="15"/>
        <v>8.6805555555555552E-2</v>
      </c>
      <c r="T75" s="46">
        <f t="shared" si="14"/>
        <v>1562.5</v>
      </c>
      <c r="U75" s="46"/>
      <c r="V75" s="46" t="e">
        <f t="shared" si="16"/>
        <v>#DIV/0!</v>
      </c>
      <c r="W75" s="46" t="e">
        <f t="shared" si="17"/>
        <v>#DIV/0!</v>
      </c>
      <c r="X75" s="46"/>
      <c r="Y75" s="46"/>
      <c r="Z75" s="46"/>
    </row>
    <row r="76" spans="1:26" s="47" customFormat="1" ht="14.25" customHeight="1">
      <c r="A76" s="43">
        <v>56</v>
      </c>
      <c r="B76" s="43" t="s">
        <v>69</v>
      </c>
      <c r="C76" s="42" t="s">
        <v>260</v>
      </c>
      <c r="D76" s="42" t="s">
        <v>131</v>
      </c>
      <c r="E76" s="43" t="s">
        <v>29</v>
      </c>
      <c r="F76" s="43">
        <f>800*60</f>
        <v>48000</v>
      </c>
      <c r="G76" s="43" t="s">
        <v>26</v>
      </c>
      <c r="H76" s="43">
        <f>400*60</f>
        <v>24000</v>
      </c>
      <c r="I76" s="43" t="s">
        <v>26</v>
      </c>
      <c r="J76" s="43">
        <f>300/60</f>
        <v>5</v>
      </c>
      <c r="K76" s="43">
        <f>300/60</f>
        <v>5</v>
      </c>
      <c r="L76" s="43" t="s">
        <v>29</v>
      </c>
      <c r="M76" s="56" t="s">
        <v>26</v>
      </c>
      <c r="N76" s="43" t="s">
        <v>29</v>
      </c>
      <c r="O76" s="43" t="s">
        <v>29</v>
      </c>
      <c r="P76" s="43" t="s">
        <v>175</v>
      </c>
      <c r="Q76" s="43" t="s">
        <v>217</v>
      </c>
      <c r="R76" s="46"/>
      <c r="S76" s="46">
        <f t="shared" si="15"/>
        <v>8.3333333333333329E-2</v>
      </c>
      <c r="T76" s="46">
        <f t="shared" si="14"/>
        <v>2000</v>
      </c>
      <c r="U76" s="46"/>
      <c r="V76" s="46" t="e">
        <f t="shared" si="16"/>
        <v>#DIV/0!</v>
      </c>
      <c r="W76" s="46" t="e">
        <f t="shared" si="17"/>
        <v>#DIV/0!</v>
      </c>
      <c r="X76" s="46"/>
      <c r="Y76" s="46"/>
      <c r="Z76" s="46"/>
    </row>
    <row r="77" spans="1:26" s="47" customFormat="1" ht="14.25" customHeight="1">
      <c r="A77" s="43">
        <v>57</v>
      </c>
      <c r="B77" s="43" t="s">
        <v>69</v>
      </c>
      <c r="C77" s="42" t="s">
        <v>261</v>
      </c>
      <c r="D77" s="43" t="s">
        <v>29</v>
      </c>
      <c r="E77" s="41" t="s">
        <v>117</v>
      </c>
      <c r="F77" s="43" t="s">
        <v>29</v>
      </c>
      <c r="G77" s="43" t="s">
        <v>26</v>
      </c>
      <c r="H77" s="43">
        <f>120*60</f>
        <v>7200</v>
      </c>
      <c r="I77" s="43" t="s">
        <v>26</v>
      </c>
      <c r="J77" s="43">
        <f>150/60</f>
        <v>2.5</v>
      </c>
      <c r="K77" s="51">
        <f>350/60</f>
        <v>5.833333333333333</v>
      </c>
      <c r="L77" s="43" t="s">
        <v>29</v>
      </c>
      <c r="M77" s="56" t="s">
        <v>26</v>
      </c>
      <c r="N77" s="43" t="s">
        <v>29</v>
      </c>
      <c r="O77" s="43" t="s">
        <v>29</v>
      </c>
      <c r="P77" s="43" t="s">
        <v>262</v>
      </c>
      <c r="Q77" s="42" t="s">
        <v>263</v>
      </c>
      <c r="R77" s="46"/>
      <c r="S77" s="46">
        <f t="shared" ref="S77:S82" si="19">(AVERAGE(J77:K77))/60</f>
        <v>6.9444444444444434E-2</v>
      </c>
      <c r="T77" s="46">
        <f t="shared" ref="T77:T99" si="20">S77*H77</f>
        <v>499.99999999999994</v>
      </c>
      <c r="U77" s="46"/>
      <c r="V77" s="46" t="e">
        <f t="shared" si="16"/>
        <v>#DIV/0!</v>
      </c>
      <c r="W77" s="46" t="e">
        <f t="shared" si="17"/>
        <v>#DIV/0!</v>
      </c>
      <c r="X77" s="46"/>
      <c r="Y77" s="46"/>
      <c r="Z77" s="46"/>
    </row>
    <row r="78" spans="1:26" s="47" customFormat="1" ht="14.25" customHeight="1">
      <c r="A78" s="43">
        <v>57</v>
      </c>
      <c r="B78" s="43" t="s">
        <v>69</v>
      </c>
      <c r="C78" s="42" t="s">
        <v>249</v>
      </c>
      <c r="D78" s="43" t="s">
        <v>29</v>
      </c>
      <c r="E78" s="41" t="s">
        <v>117</v>
      </c>
      <c r="F78" s="43" t="s">
        <v>29</v>
      </c>
      <c r="G78" s="43" t="s">
        <v>26</v>
      </c>
      <c r="H78" s="43">
        <v>1200</v>
      </c>
      <c r="I78" s="43" t="s">
        <v>26</v>
      </c>
      <c r="J78" s="51">
        <f t="shared" ref="J78:K81" si="21">650/60</f>
        <v>10.833333333333334</v>
      </c>
      <c r="K78" s="51">
        <f t="shared" si="21"/>
        <v>10.833333333333334</v>
      </c>
      <c r="L78" s="43" t="s">
        <v>29</v>
      </c>
      <c r="M78" s="56" t="s">
        <v>26</v>
      </c>
      <c r="N78" s="43" t="s">
        <v>29</v>
      </c>
      <c r="O78" s="43" t="s">
        <v>29</v>
      </c>
      <c r="P78" s="43" t="s">
        <v>262</v>
      </c>
      <c r="Q78" s="42" t="s">
        <v>264</v>
      </c>
      <c r="R78" s="46"/>
      <c r="S78" s="46">
        <f t="shared" si="19"/>
        <v>0.18055555555555555</v>
      </c>
      <c r="T78" s="46">
        <f t="shared" si="20"/>
        <v>216.66666666666666</v>
      </c>
      <c r="U78" s="46"/>
      <c r="V78" s="46" t="e">
        <f t="shared" si="16"/>
        <v>#DIV/0!</v>
      </c>
      <c r="W78" s="46" t="e">
        <f t="shared" si="17"/>
        <v>#DIV/0!</v>
      </c>
      <c r="X78" s="46"/>
      <c r="Y78" s="46"/>
      <c r="Z78" s="46"/>
    </row>
    <row r="79" spans="1:26" s="47" customFormat="1" ht="14.25" customHeight="1">
      <c r="A79" s="43">
        <v>57</v>
      </c>
      <c r="B79" s="43" t="s">
        <v>69</v>
      </c>
      <c r="C79" s="42" t="s">
        <v>265</v>
      </c>
      <c r="D79" s="43" t="s">
        <v>29</v>
      </c>
      <c r="E79" s="41" t="s">
        <v>117</v>
      </c>
      <c r="F79" s="43" t="s">
        <v>29</v>
      </c>
      <c r="G79" s="43" t="s">
        <v>26</v>
      </c>
      <c r="H79" s="43">
        <v>1200</v>
      </c>
      <c r="I79" s="43" t="s">
        <v>26</v>
      </c>
      <c r="J79" s="51">
        <f t="shared" si="21"/>
        <v>10.833333333333334</v>
      </c>
      <c r="K79" s="51">
        <f t="shared" si="21"/>
        <v>10.833333333333334</v>
      </c>
      <c r="L79" s="43" t="s">
        <v>29</v>
      </c>
      <c r="M79" s="56" t="s">
        <v>26</v>
      </c>
      <c r="N79" s="43" t="s">
        <v>29</v>
      </c>
      <c r="O79" s="43" t="s">
        <v>29</v>
      </c>
      <c r="P79" s="43" t="s">
        <v>29</v>
      </c>
      <c r="Q79" s="42" t="s">
        <v>29</v>
      </c>
      <c r="R79" s="46"/>
      <c r="S79" s="46">
        <f t="shared" si="19"/>
        <v>0.18055555555555555</v>
      </c>
      <c r="T79" s="46">
        <f t="shared" si="20"/>
        <v>216.66666666666666</v>
      </c>
      <c r="U79" s="46"/>
      <c r="V79" s="46" t="e">
        <f t="shared" si="16"/>
        <v>#DIV/0!</v>
      </c>
      <c r="W79" s="46" t="e">
        <f t="shared" si="17"/>
        <v>#DIV/0!</v>
      </c>
      <c r="X79" s="46"/>
      <c r="Y79" s="46"/>
      <c r="Z79" s="46"/>
    </row>
    <row r="80" spans="1:26" s="47" customFormat="1" ht="14.25" customHeight="1">
      <c r="A80" s="43">
        <v>57</v>
      </c>
      <c r="B80" s="43" t="s">
        <v>69</v>
      </c>
      <c r="C80" s="42" t="s">
        <v>266</v>
      </c>
      <c r="D80" s="43" t="s">
        <v>29</v>
      </c>
      <c r="E80" s="41" t="s">
        <v>117</v>
      </c>
      <c r="F80" s="43" t="s">
        <v>29</v>
      </c>
      <c r="G80" s="43" t="s">
        <v>26</v>
      </c>
      <c r="H80" s="43">
        <v>1200</v>
      </c>
      <c r="I80" s="43" t="s">
        <v>26</v>
      </c>
      <c r="J80" s="51">
        <f t="shared" si="21"/>
        <v>10.833333333333334</v>
      </c>
      <c r="K80" s="51">
        <f t="shared" si="21"/>
        <v>10.833333333333334</v>
      </c>
      <c r="L80" s="43" t="s">
        <v>29</v>
      </c>
      <c r="M80" s="56" t="s">
        <v>26</v>
      </c>
      <c r="N80" s="43" t="s">
        <v>29</v>
      </c>
      <c r="O80" s="43" t="s">
        <v>29</v>
      </c>
      <c r="P80" s="43" t="s">
        <v>29</v>
      </c>
      <c r="Q80" s="42" t="s">
        <v>29</v>
      </c>
      <c r="R80" s="46"/>
      <c r="S80" s="46">
        <f t="shared" si="19"/>
        <v>0.18055555555555555</v>
      </c>
      <c r="T80" s="46">
        <f t="shared" si="20"/>
        <v>216.66666666666666</v>
      </c>
      <c r="U80" s="46"/>
      <c r="V80" s="46" t="e">
        <f t="shared" si="16"/>
        <v>#DIV/0!</v>
      </c>
      <c r="W80" s="46" t="e">
        <f t="shared" si="17"/>
        <v>#DIV/0!</v>
      </c>
      <c r="X80" s="46"/>
      <c r="Y80" s="46"/>
      <c r="Z80" s="46"/>
    </row>
    <row r="81" spans="1:26" s="47" customFormat="1" ht="14.25" customHeight="1">
      <c r="A81" s="43">
        <v>57</v>
      </c>
      <c r="B81" s="43" t="s">
        <v>69</v>
      </c>
      <c r="C81" s="42" t="s">
        <v>267</v>
      </c>
      <c r="D81" s="43" t="s">
        <v>29</v>
      </c>
      <c r="E81" s="41" t="s">
        <v>117</v>
      </c>
      <c r="F81" s="43" t="s">
        <v>29</v>
      </c>
      <c r="G81" s="43" t="s">
        <v>26</v>
      </c>
      <c r="H81" s="43">
        <v>1200</v>
      </c>
      <c r="I81" s="43" t="s">
        <v>26</v>
      </c>
      <c r="J81" s="51">
        <f t="shared" si="21"/>
        <v>10.833333333333334</v>
      </c>
      <c r="K81" s="51">
        <f t="shared" si="21"/>
        <v>10.833333333333334</v>
      </c>
      <c r="L81" s="43" t="s">
        <v>29</v>
      </c>
      <c r="M81" s="56" t="s">
        <v>26</v>
      </c>
      <c r="N81" s="43" t="s">
        <v>29</v>
      </c>
      <c r="O81" s="43" t="s">
        <v>29</v>
      </c>
      <c r="P81" s="43"/>
      <c r="Q81" s="42" t="s">
        <v>29</v>
      </c>
      <c r="R81" s="46"/>
      <c r="S81" s="46">
        <f t="shared" si="19"/>
        <v>0.18055555555555555</v>
      </c>
      <c r="T81" s="46">
        <f t="shared" si="20"/>
        <v>216.66666666666666</v>
      </c>
      <c r="U81" s="46"/>
      <c r="V81" s="46" t="e">
        <f t="shared" si="16"/>
        <v>#DIV/0!</v>
      </c>
      <c r="W81" s="46" t="e">
        <f t="shared" si="17"/>
        <v>#DIV/0!</v>
      </c>
      <c r="X81" s="46"/>
      <c r="Y81" s="46"/>
      <c r="Z81" s="46"/>
    </row>
    <row r="82" spans="1:26" s="47" customFormat="1" ht="14.25" customHeight="1">
      <c r="A82" s="43">
        <v>58</v>
      </c>
      <c r="B82" s="43" t="s">
        <v>69</v>
      </c>
      <c r="C82" s="43" t="s">
        <v>268</v>
      </c>
      <c r="D82" s="43" t="s">
        <v>131</v>
      </c>
      <c r="E82" s="43" t="s">
        <v>122</v>
      </c>
      <c r="F82" s="56">
        <f>250*50</f>
        <v>12500</v>
      </c>
      <c r="G82" s="43" t="s">
        <v>26</v>
      </c>
      <c r="H82" s="56" t="s">
        <v>29</v>
      </c>
      <c r="I82" s="56" t="s">
        <v>29</v>
      </c>
      <c r="J82" s="56">
        <f>150/50</f>
        <v>3</v>
      </c>
      <c r="K82" s="56">
        <f>300/50</f>
        <v>6</v>
      </c>
      <c r="L82" s="43" t="s">
        <v>29</v>
      </c>
      <c r="M82" s="56" t="s">
        <v>26</v>
      </c>
      <c r="N82" s="43" t="s">
        <v>29</v>
      </c>
      <c r="O82" s="43" t="s">
        <v>29</v>
      </c>
      <c r="P82" s="43" t="s">
        <v>269</v>
      </c>
      <c r="Q82" s="43" t="s">
        <v>270</v>
      </c>
      <c r="R82" s="46"/>
      <c r="S82" s="46">
        <f t="shared" si="19"/>
        <v>7.4999999999999997E-2</v>
      </c>
      <c r="T82" s="46" t="e">
        <f t="shared" si="20"/>
        <v>#VALUE!</v>
      </c>
      <c r="U82" s="46"/>
      <c r="V82" s="46" t="e">
        <f t="shared" si="16"/>
        <v>#DIV/0!</v>
      </c>
      <c r="W82" s="46" t="e">
        <f t="shared" si="17"/>
        <v>#DIV/0!</v>
      </c>
      <c r="X82" s="46"/>
      <c r="Y82" s="46"/>
      <c r="Z82" s="46"/>
    </row>
    <row r="83" spans="1:26" s="47" customFormat="1" ht="14.25" customHeight="1">
      <c r="A83" s="43">
        <v>58</v>
      </c>
      <c r="B83" s="43" t="s">
        <v>67</v>
      </c>
      <c r="C83" s="43" t="s">
        <v>29</v>
      </c>
      <c r="D83" s="43" t="s">
        <v>93</v>
      </c>
      <c r="E83" s="43" t="s">
        <v>122</v>
      </c>
      <c r="F83" s="43" t="s">
        <v>29</v>
      </c>
      <c r="G83" s="43" t="s">
        <v>26</v>
      </c>
      <c r="H83" s="56">
        <v>400</v>
      </c>
      <c r="I83" s="56" t="s">
        <v>26</v>
      </c>
      <c r="J83" s="56">
        <v>130</v>
      </c>
      <c r="K83" s="56">
        <v>130</v>
      </c>
      <c r="L83" s="43" t="s">
        <v>29</v>
      </c>
      <c r="M83" s="56" t="s">
        <v>26</v>
      </c>
      <c r="N83" s="43">
        <v>150</v>
      </c>
      <c r="O83" s="43">
        <v>170</v>
      </c>
      <c r="P83" s="43" t="s">
        <v>29</v>
      </c>
      <c r="Q83" s="43" t="s">
        <v>271</v>
      </c>
      <c r="R83" s="46"/>
      <c r="S83" s="46">
        <f>(AVERAGE(J83:K83))</f>
        <v>130</v>
      </c>
      <c r="T83" s="46">
        <f t="shared" si="20"/>
        <v>52000</v>
      </c>
      <c r="U83" s="46"/>
      <c r="V83" s="46">
        <f t="shared" si="16"/>
        <v>160</v>
      </c>
      <c r="W83" s="46" t="e">
        <f t="shared" si="17"/>
        <v>#VALUE!</v>
      </c>
      <c r="X83" s="46"/>
      <c r="Y83" s="46"/>
      <c r="Z83" s="46"/>
    </row>
    <row r="84" spans="1:26" s="47" customFormat="1" ht="14.25" customHeight="1">
      <c r="A84" s="43">
        <v>58</v>
      </c>
      <c r="B84" s="43" t="s">
        <v>69</v>
      </c>
      <c r="C84" s="43" t="s">
        <v>272</v>
      </c>
      <c r="D84" s="43" t="s">
        <v>29</v>
      </c>
      <c r="E84" s="43" t="s">
        <v>29</v>
      </c>
      <c r="F84" s="43" t="s">
        <v>29</v>
      </c>
      <c r="G84" s="43" t="s">
        <v>26</v>
      </c>
      <c r="H84" s="56">
        <f>150*50</f>
        <v>7500</v>
      </c>
      <c r="I84" s="56" t="s">
        <v>26</v>
      </c>
      <c r="J84" s="56">
        <f>150/50</f>
        <v>3</v>
      </c>
      <c r="K84" s="56">
        <f>300/50</f>
        <v>6</v>
      </c>
      <c r="L84" s="43" t="s">
        <v>29</v>
      </c>
      <c r="M84" s="56" t="s">
        <v>26</v>
      </c>
      <c r="N84" s="43" t="s">
        <v>29</v>
      </c>
      <c r="O84" s="43" t="s">
        <v>29</v>
      </c>
      <c r="P84" s="43" t="s">
        <v>29</v>
      </c>
      <c r="Q84" s="42" t="s">
        <v>273</v>
      </c>
      <c r="R84" s="46"/>
      <c r="S84" s="46">
        <f t="shared" ref="S84:S99" si="22">(AVERAGE(J84:K84))/60</f>
        <v>7.4999999999999997E-2</v>
      </c>
      <c r="T84" s="46">
        <f t="shared" si="20"/>
        <v>562.5</v>
      </c>
      <c r="U84" s="46"/>
      <c r="V84" s="46" t="e">
        <f t="shared" si="16"/>
        <v>#DIV/0!</v>
      </c>
      <c r="W84" s="46" t="e">
        <f t="shared" si="17"/>
        <v>#DIV/0!</v>
      </c>
      <c r="X84" s="46"/>
      <c r="Y84" s="46"/>
      <c r="Z84" s="46"/>
    </row>
    <row r="85" spans="1:26" s="47" customFormat="1" ht="14.25" customHeight="1">
      <c r="A85" s="43">
        <v>59</v>
      </c>
      <c r="B85" s="43" t="s">
        <v>69</v>
      </c>
      <c r="C85" s="43" t="s">
        <v>274</v>
      </c>
      <c r="D85" s="43" t="s">
        <v>29</v>
      </c>
      <c r="E85" s="43" t="s">
        <v>29</v>
      </c>
      <c r="F85" s="43" t="s">
        <v>29</v>
      </c>
      <c r="G85" s="43" t="s">
        <v>26</v>
      </c>
      <c r="H85" s="56">
        <f>600*60</f>
        <v>36000</v>
      </c>
      <c r="I85" s="56" t="s">
        <v>26</v>
      </c>
      <c r="J85" s="56">
        <f t="shared" ref="J85:K88" si="23">300/60</f>
        <v>5</v>
      </c>
      <c r="K85" s="56">
        <f t="shared" si="23"/>
        <v>5</v>
      </c>
      <c r="L85" s="43" t="s">
        <v>29</v>
      </c>
      <c r="M85" s="56" t="s">
        <v>26</v>
      </c>
      <c r="N85" s="43" t="s">
        <v>29</v>
      </c>
      <c r="O85" s="43" t="s">
        <v>29</v>
      </c>
      <c r="P85" s="43" t="s">
        <v>275</v>
      </c>
      <c r="Q85" s="43" t="s">
        <v>276</v>
      </c>
      <c r="R85" s="46"/>
      <c r="S85" s="46">
        <f t="shared" si="22"/>
        <v>8.3333333333333329E-2</v>
      </c>
      <c r="T85" s="46">
        <f t="shared" si="20"/>
        <v>3000</v>
      </c>
      <c r="U85" s="46"/>
      <c r="V85" s="46" t="e">
        <f t="shared" si="16"/>
        <v>#DIV/0!</v>
      </c>
      <c r="W85" s="46" t="e">
        <f t="shared" si="17"/>
        <v>#DIV/0!</v>
      </c>
      <c r="X85" s="46"/>
      <c r="Y85" s="46"/>
      <c r="Z85" s="46"/>
    </row>
    <row r="86" spans="1:26" s="47" customFormat="1" ht="14.25" customHeight="1">
      <c r="A86" s="43">
        <v>59</v>
      </c>
      <c r="B86" s="43" t="s">
        <v>69</v>
      </c>
      <c r="C86" s="43" t="s">
        <v>277</v>
      </c>
      <c r="D86" s="43" t="s">
        <v>29</v>
      </c>
      <c r="E86" s="43" t="s">
        <v>122</v>
      </c>
      <c r="F86" s="43" t="s">
        <v>29</v>
      </c>
      <c r="G86" s="43" t="s">
        <v>26</v>
      </c>
      <c r="H86" s="56">
        <f>500*60</f>
        <v>30000</v>
      </c>
      <c r="I86" s="56" t="s">
        <v>26</v>
      </c>
      <c r="J86" s="56">
        <f t="shared" si="23"/>
        <v>5</v>
      </c>
      <c r="K86" s="56">
        <f t="shared" si="23"/>
        <v>5</v>
      </c>
      <c r="L86" s="43" t="s">
        <v>29</v>
      </c>
      <c r="M86" s="56" t="s">
        <v>26</v>
      </c>
      <c r="N86" s="43" t="s">
        <v>29</v>
      </c>
      <c r="O86" s="43" t="s">
        <v>29</v>
      </c>
      <c r="P86" s="43" t="s">
        <v>278</v>
      </c>
      <c r="Q86" s="43" t="s">
        <v>279</v>
      </c>
      <c r="R86" s="46"/>
      <c r="S86" s="46">
        <f t="shared" si="22"/>
        <v>8.3333333333333329E-2</v>
      </c>
      <c r="T86" s="46">
        <f t="shared" si="20"/>
        <v>2500</v>
      </c>
      <c r="U86" s="46"/>
      <c r="V86" s="46" t="e">
        <f t="shared" si="16"/>
        <v>#DIV/0!</v>
      </c>
      <c r="W86" s="46" t="e">
        <f t="shared" si="17"/>
        <v>#DIV/0!</v>
      </c>
      <c r="X86" s="46"/>
      <c r="Y86" s="46"/>
      <c r="Z86" s="46"/>
    </row>
    <row r="87" spans="1:26" s="47" customFormat="1" ht="14.25" customHeight="1">
      <c r="A87" s="43">
        <v>59</v>
      </c>
      <c r="B87" s="43" t="s">
        <v>69</v>
      </c>
      <c r="C87" s="43" t="s">
        <v>280</v>
      </c>
      <c r="D87" s="43" t="s">
        <v>29</v>
      </c>
      <c r="E87" s="43" t="s">
        <v>122</v>
      </c>
      <c r="F87" s="43" t="s">
        <v>29</v>
      </c>
      <c r="G87" s="43" t="s">
        <v>26</v>
      </c>
      <c r="H87" s="56">
        <f>1000*60</f>
        <v>60000</v>
      </c>
      <c r="I87" s="56" t="s">
        <v>26</v>
      </c>
      <c r="J87" s="56">
        <f t="shared" si="23"/>
        <v>5</v>
      </c>
      <c r="K87" s="56">
        <f t="shared" si="23"/>
        <v>5</v>
      </c>
      <c r="L87" s="43" t="s">
        <v>29</v>
      </c>
      <c r="M87" s="56" t="s">
        <v>26</v>
      </c>
      <c r="N87" s="43" t="s">
        <v>29</v>
      </c>
      <c r="O87" s="43" t="s">
        <v>29</v>
      </c>
      <c r="P87" s="43" t="s">
        <v>281</v>
      </c>
      <c r="Q87" s="43" t="s">
        <v>282</v>
      </c>
      <c r="R87" s="46"/>
      <c r="S87" s="46">
        <f t="shared" si="22"/>
        <v>8.3333333333333329E-2</v>
      </c>
      <c r="T87" s="46">
        <f t="shared" si="20"/>
        <v>5000</v>
      </c>
      <c r="U87" s="46"/>
      <c r="V87" s="46" t="e">
        <f t="shared" si="16"/>
        <v>#DIV/0!</v>
      </c>
      <c r="W87" s="46" t="e">
        <f t="shared" si="17"/>
        <v>#DIV/0!</v>
      </c>
      <c r="X87" s="46"/>
      <c r="Y87" s="46"/>
      <c r="Z87" s="46"/>
    </row>
    <row r="88" spans="1:26" s="47" customFormat="1" ht="14.25" customHeight="1">
      <c r="A88" s="43">
        <v>59</v>
      </c>
      <c r="B88" s="43" t="s">
        <v>69</v>
      </c>
      <c r="C88" s="43" t="s">
        <v>283</v>
      </c>
      <c r="D88" s="43" t="s">
        <v>29</v>
      </c>
      <c r="E88" s="43" t="s">
        <v>284</v>
      </c>
      <c r="F88" s="43" t="s">
        <v>29</v>
      </c>
      <c r="G88" s="43" t="s">
        <v>26</v>
      </c>
      <c r="H88" s="56">
        <f>600*60</f>
        <v>36000</v>
      </c>
      <c r="I88" s="56" t="s">
        <v>26</v>
      </c>
      <c r="J88" s="56">
        <f t="shared" si="23"/>
        <v>5</v>
      </c>
      <c r="K88" s="56">
        <f t="shared" si="23"/>
        <v>5</v>
      </c>
      <c r="L88" s="43" t="s">
        <v>29</v>
      </c>
      <c r="M88" s="56" t="s">
        <v>26</v>
      </c>
      <c r="N88" s="43" t="s">
        <v>29</v>
      </c>
      <c r="O88" s="43" t="s">
        <v>29</v>
      </c>
      <c r="P88" s="43" t="s">
        <v>285</v>
      </c>
      <c r="Q88" s="43" t="s">
        <v>286</v>
      </c>
      <c r="R88" s="46"/>
      <c r="S88" s="46">
        <f t="shared" si="22"/>
        <v>8.3333333333333329E-2</v>
      </c>
      <c r="T88" s="46">
        <f t="shared" si="20"/>
        <v>3000</v>
      </c>
      <c r="U88" s="46"/>
      <c r="V88" s="46" t="e">
        <f t="shared" si="16"/>
        <v>#DIV/0!</v>
      </c>
      <c r="W88" s="46" t="e">
        <f t="shared" si="17"/>
        <v>#DIV/0!</v>
      </c>
      <c r="X88" s="46"/>
      <c r="Y88" s="46"/>
      <c r="Z88" s="46"/>
    </row>
    <row r="89" spans="1:26" s="47" customFormat="1" ht="14.25" customHeight="1">
      <c r="A89" s="43">
        <v>59</v>
      </c>
      <c r="B89" s="43" t="s">
        <v>69</v>
      </c>
      <c r="C89" s="43" t="s">
        <v>283</v>
      </c>
      <c r="D89" s="43" t="s">
        <v>29</v>
      </c>
      <c r="E89" s="43" t="s">
        <v>284</v>
      </c>
      <c r="F89" s="43" t="s">
        <v>29</v>
      </c>
      <c r="G89" s="43" t="s">
        <v>26</v>
      </c>
      <c r="H89" s="56">
        <f>1000*60</f>
        <v>60000</v>
      </c>
      <c r="I89" s="56" t="s">
        <v>26</v>
      </c>
      <c r="J89" s="57">
        <f t="shared" ref="J89:K92" si="24">320/60</f>
        <v>5.333333333333333</v>
      </c>
      <c r="K89" s="57">
        <f t="shared" si="24"/>
        <v>5.333333333333333</v>
      </c>
      <c r="L89" s="43" t="s">
        <v>29</v>
      </c>
      <c r="M89" s="56" t="s">
        <v>26</v>
      </c>
      <c r="N89" s="43" t="s">
        <v>29</v>
      </c>
      <c r="O89" s="43" t="s">
        <v>29</v>
      </c>
      <c r="P89" s="43" t="s">
        <v>285</v>
      </c>
      <c r="Q89" s="43" t="s">
        <v>287</v>
      </c>
      <c r="R89" s="46"/>
      <c r="S89" s="46">
        <f t="shared" si="22"/>
        <v>8.8888888888888878E-2</v>
      </c>
      <c r="T89" s="46">
        <f t="shared" si="20"/>
        <v>5333.333333333333</v>
      </c>
      <c r="U89" s="46"/>
      <c r="V89" s="46" t="e">
        <f t="shared" si="16"/>
        <v>#DIV/0!</v>
      </c>
      <c r="W89" s="46" t="e">
        <f t="shared" si="17"/>
        <v>#DIV/0!</v>
      </c>
      <c r="X89" s="46"/>
      <c r="Y89" s="46"/>
      <c r="Z89" s="46"/>
    </row>
    <row r="90" spans="1:26" s="47" customFormat="1" ht="14.25" customHeight="1">
      <c r="A90" s="43">
        <v>59</v>
      </c>
      <c r="B90" s="43" t="s">
        <v>69</v>
      </c>
      <c r="C90" s="43" t="s">
        <v>283</v>
      </c>
      <c r="D90" s="43" t="s">
        <v>29</v>
      </c>
      <c r="E90" s="43" t="s">
        <v>122</v>
      </c>
      <c r="F90" s="43" t="s">
        <v>29</v>
      </c>
      <c r="G90" s="43" t="s">
        <v>26</v>
      </c>
      <c r="H90" s="56">
        <f>2000*60</f>
        <v>120000</v>
      </c>
      <c r="I90" s="56" t="s">
        <v>26</v>
      </c>
      <c r="J90" s="57">
        <f t="shared" si="24"/>
        <v>5.333333333333333</v>
      </c>
      <c r="K90" s="57">
        <f t="shared" si="24"/>
        <v>5.333333333333333</v>
      </c>
      <c r="L90" s="43" t="s">
        <v>29</v>
      </c>
      <c r="M90" s="56" t="s">
        <v>26</v>
      </c>
      <c r="N90" s="43" t="s">
        <v>29</v>
      </c>
      <c r="O90" s="43" t="s">
        <v>29</v>
      </c>
      <c r="P90" s="43" t="s">
        <v>285</v>
      </c>
      <c r="Q90" s="43" t="s">
        <v>288</v>
      </c>
      <c r="R90" s="46"/>
      <c r="S90" s="46">
        <f t="shared" si="22"/>
        <v>8.8888888888888878E-2</v>
      </c>
      <c r="T90" s="46">
        <f t="shared" si="20"/>
        <v>10666.666666666666</v>
      </c>
      <c r="U90" s="46"/>
      <c r="V90" s="46" t="e">
        <f t="shared" si="16"/>
        <v>#DIV/0!</v>
      </c>
      <c r="W90" s="46" t="e">
        <f t="shared" si="17"/>
        <v>#DIV/0!</v>
      </c>
      <c r="X90" s="46"/>
      <c r="Y90" s="46"/>
      <c r="Z90" s="46"/>
    </row>
    <row r="91" spans="1:26" s="47" customFormat="1" ht="14.25" customHeight="1">
      <c r="A91" s="43">
        <v>59</v>
      </c>
      <c r="B91" s="43" t="s">
        <v>69</v>
      </c>
      <c r="C91" s="43" t="s">
        <v>289</v>
      </c>
      <c r="D91" s="43" t="s">
        <v>29</v>
      </c>
      <c r="E91" s="43" t="s">
        <v>284</v>
      </c>
      <c r="F91" s="43" t="s">
        <v>29</v>
      </c>
      <c r="G91" s="43" t="s">
        <v>26</v>
      </c>
      <c r="H91" s="56">
        <f>500*60</f>
        <v>30000</v>
      </c>
      <c r="I91" s="56" t="s">
        <v>26</v>
      </c>
      <c r="J91" s="57">
        <f t="shared" si="24"/>
        <v>5.333333333333333</v>
      </c>
      <c r="K91" s="57">
        <f t="shared" si="24"/>
        <v>5.333333333333333</v>
      </c>
      <c r="L91" s="43" t="s">
        <v>29</v>
      </c>
      <c r="M91" s="56" t="s">
        <v>26</v>
      </c>
      <c r="N91" s="43" t="s">
        <v>29</v>
      </c>
      <c r="O91" s="43" t="s">
        <v>29</v>
      </c>
      <c r="P91" s="43" t="s">
        <v>149</v>
      </c>
      <c r="Q91" s="43" t="s">
        <v>290</v>
      </c>
      <c r="R91" s="46"/>
      <c r="S91" s="46">
        <f t="shared" si="22"/>
        <v>8.8888888888888878E-2</v>
      </c>
      <c r="T91" s="46">
        <f t="shared" si="20"/>
        <v>2666.6666666666665</v>
      </c>
      <c r="U91" s="46"/>
      <c r="V91" s="46" t="e">
        <f t="shared" si="16"/>
        <v>#DIV/0!</v>
      </c>
      <c r="W91" s="46" t="e">
        <f t="shared" si="17"/>
        <v>#DIV/0!</v>
      </c>
      <c r="X91" s="46"/>
      <c r="Y91" s="46"/>
      <c r="Z91" s="46"/>
    </row>
    <row r="92" spans="1:26" s="47" customFormat="1" ht="14.25" customHeight="1">
      <c r="A92" s="43">
        <v>59</v>
      </c>
      <c r="B92" s="43" t="s">
        <v>69</v>
      </c>
      <c r="C92" s="43" t="s">
        <v>289</v>
      </c>
      <c r="D92" s="43" t="s">
        <v>29</v>
      </c>
      <c r="E92" s="43" t="s">
        <v>284</v>
      </c>
      <c r="F92" s="43" t="s">
        <v>29</v>
      </c>
      <c r="G92" s="43" t="s">
        <v>26</v>
      </c>
      <c r="H92" s="56">
        <f t="shared" ref="H92:H93" si="25">400*60</f>
        <v>24000</v>
      </c>
      <c r="I92" s="56" t="s">
        <v>26</v>
      </c>
      <c r="J92" s="57">
        <f>320/60</f>
        <v>5.333333333333333</v>
      </c>
      <c r="K92" s="57">
        <f t="shared" si="24"/>
        <v>5.333333333333333</v>
      </c>
      <c r="L92" s="43" t="s">
        <v>29</v>
      </c>
      <c r="M92" s="56" t="s">
        <v>26</v>
      </c>
      <c r="N92" s="43" t="s">
        <v>29</v>
      </c>
      <c r="O92" s="43" t="s">
        <v>29</v>
      </c>
      <c r="P92" s="43" t="s">
        <v>149</v>
      </c>
      <c r="Q92" s="43" t="s">
        <v>291</v>
      </c>
      <c r="R92" s="46"/>
      <c r="S92" s="46">
        <f t="shared" si="22"/>
        <v>8.8888888888888878E-2</v>
      </c>
      <c r="T92" s="46">
        <f t="shared" si="20"/>
        <v>2133.333333333333</v>
      </c>
      <c r="U92" s="46"/>
      <c r="V92" s="46" t="e">
        <f t="shared" si="16"/>
        <v>#DIV/0!</v>
      </c>
      <c r="W92" s="46" t="e">
        <f t="shared" si="17"/>
        <v>#DIV/0!</v>
      </c>
      <c r="X92" s="46"/>
      <c r="Y92" s="46"/>
      <c r="Z92" s="46"/>
    </row>
    <row r="93" spans="1:26" s="47" customFormat="1" ht="14.25" customHeight="1">
      <c r="A93" s="43">
        <v>59</v>
      </c>
      <c r="B93" s="43" t="s">
        <v>69</v>
      </c>
      <c r="C93" s="43" t="s">
        <v>292</v>
      </c>
      <c r="D93" s="43" t="s">
        <v>29</v>
      </c>
      <c r="E93" s="43" t="s">
        <v>29</v>
      </c>
      <c r="F93" s="43" t="s">
        <v>29</v>
      </c>
      <c r="G93" s="43" t="s">
        <v>26</v>
      </c>
      <c r="H93" s="56">
        <f t="shared" si="25"/>
        <v>24000</v>
      </c>
      <c r="I93" s="56" t="s">
        <v>26</v>
      </c>
      <c r="J93" s="56">
        <f t="shared" ref="J93:K93" si="26">300/60</f>
        <v>5</v>
      </c>
      <c r="K93" s="56">
        <f t="shared" si="26"/>
        <v>5</v>
      </c>
      <c r="L93" s="43" t="s">
        <v>29</v>
      </c>
      <c r="M93" s="56" t="s">
        <v>26</v>
      </c>
      <c r="N93" s="43" t="s">
        <v>29</v>
      </c>
      <c r="O93" s="43" t="s">
        <v>29</v>
      </c>
      <c r="P93" s="43" t="s">
        <v>293</v>
      </c>
      <c r="Q93" s="43" t="s">
        <v>294</v>
      </c>
      <c r="R93" s="46"/>
      <c r="S93" s="46">
        <f t="shared" si="22"/>
        <v>8.3333333333333329E-2</v>
      </c>
      <c r="T93" s="46">
        <f t="shared" si="20"/>
        <v>2000</v>
      </c>
      <c r="U93" s="46"/>
      <c r="V93" s="46" t="e">
        <f t="shared" si="16"/>
        <v>#DIV/0!</v>
      </c>
      <c r="W93" s="46" t="e">
        <f t="shared" si="17"/>
        <v>#DIV/0!</v>
      </c>
      <c r="X93" s="46"/>
      <c r="Y93" s="46"/>
      <c r="Z93" s="46"/>
    </row>
    <row r="94" spans="1:26" s="47" customFormat="1" ht="14.25" customHeight="1">
      <c r="A94" s="43">
        <v>59</v>
      </c>
      <c r="B94" s="43" t="s">
        <v>69</v>
      </c>
      <c r="C94" s="43" t="s">
        <v>295</v>
      </c>
      <c r="D94" s="43" t="s">
        <v>29</v>
      </c>
      <c r="E94" s="43" t="s">
        <v>122</v>
      </c>
      <c r="F94" s="43" t="s">
        <v>29</v>
      </c>
      <c r="G94" s="43" t="s">
        <v>26</v>
      </c>
      <c r="H94" s="56">
        <f>3000*60</f>
        <v>180000</v>
      </c>
      <c r="I94" s="56" t="s">
        <v>26</v>
      </c>
      <c r="J94" s="57">
        <f t="shared" ref="J94:K98" si="27">350/60</f>
        <v>5.833333333333333</v>
      </c>
      <c r="K94" s="57">
        <f t="shared" si="27"/>
        <v>5.833333333333333</v>
      </c>
      <c r="L94" s="43" t="s">
        <v>29</v>
      </c>
      <c r="M94" s="56" t="s">
        <v>26</v>
      </c>
      <c r="N94" s="43" t="s">
        <v>29</v>
      </c>
      <c r="O94" s="43" t="s">
        <v>29</v>
      </c>
      <c r="P94" s="43" t="s">
        <v>296</v>
      </c>
      <c r="Q94" s="43" t="s">
        <v>297</v>
      </c>
      <c r="R94" s="46"/>
      <c r="S94" s="46">
        <f t="shared" si="22"/>
        <v>9.7222222222222224E-2</v>
      </c>
      <c r="T94" s="46">
        <f t="shared" si="20"/>
        <v>17500</v>
      </c>
      <c r="U94" s="46"/>
      <c r="V94" s="46" t="e">
        <f t="shared" si="16"/>
        <v>#DIV/0!</v>
      </c>
      <c r="W94" s="46" t="e">
        <f t="shared" si="17"/>
        <v>#DIV/0!</v>
      </c>
      <c r="X94" s="46"/>
      <c r="Y94" s="46"/>
      <c r="Z94" s="46"/>
    </row>
    <row r="95" spans="1:26" s="47" customFormat="1" ht="14.25" customHeight="1">
      <c r="A95" s="43">
        <v>59</v>
      </c>
      <c r="B95" s="43" t="s">
        <v>69</v>
      </c>
      <c r="C95" s="43" t="s">
        <v>298</v>
      </c>
      <c r="D95" s="43" t="s">
        <v>29</v>
      </c>
      <c r="E95" s="43" t="s">
        <v>29</v>
      </c>
      <c r="F95" s="43" t="s">
        <v>29</v>
      </c>
      <c r="G95" s="43" t="s">
        <v>26</v>
      </c>
      <c r="H95" s="56">
        <f>5000*60</f>
        <v>300000</v>
      </c>
      <c r="I95" s="56" t="s">
        <v>26</v>
      </c>
      <c r="J95" s="57">
        <f t="shared" si="27"/>
        <v>5.833333333333333</v>
      </c>
      <c r="K95" s="57">
        <f t="shared" si="27"/>
        <v>5.833333333333333</v>
      </c>
      <c r="L95" s="43" t="s">
        <v>29</v>
      </c>
      <c r="M95" s="56" t="s">
        <v>26</v>
      </c>
      <c r="N95" s="43" t="s">
        <v>29</v>
      </c>
      <c r="O95" s="43" t="s">
        <v>29</v>
      </c>
      <c r="P95" s="43" t="s">
        <v>296</v>
      </c>
      <c r="Q95" s="43" t="s">
        <v>224</v>
      </c>
      <c r="R95" s="46"/>
      <c r="S95" s="46">
        <f t="shared" si="22"/>
        <v>9.7222222222222224E-2</v>
      </c>
      <c r="T95" s="46">
        <f t="shared" si="20"/>
        <v>29166.666666666668</v>
      </c>
      <c r="U95" s="46"/>
      <c r="V95" s="46" t="e">
        <f t="shared" si="16"/>
        <v>#DIV/0!</v>
      </c>
      <c r="W95" s="46" t="e">
        <f t="shared" si="17"/>
        <v>#DIV/0!</v>
      </c>
      <c r="X95" s="46"/>
      <c r="Y95" s="46"/>
      <c r="Z95" s="46"/>
    </row>
    <row r="96" spans="1:26" s="47" customFormat="1" ht="14.25" customHeight="1">
      <c r="A96" s="43">
        <v>59</v>
      </c>
      <c r="B96" s="43" t="s">
        <v>69</v>
      </c>
      <c r="C96" s="43" t="s">
        <v>299</v>
      </c>
      <c r="D96" s="43" t="s">
        <v>29</v>
      </c>
      <c r="E96" s="43" t="s">
        <v>122</v>
      </c>
      <c r="F96" s="43" t="s">
        <v>29</v>
      </c>
      <c r="G96" s="43" t="s">
        <v>26</v>
      </c>
      <c r="H96" s="56">
        <f>3000*60</f>
        <v>180000</v>
      </c>
      <c r="I96" s="56" t="s">
        <v>26</v>
      </c>
      <c r="J96" s="57">
        <f t="shared" si="27"/>
        <v>5.833333333333333</v>
      </c>
      <c r="K96" s="57">
        <f t="shared" si="27"/>
        <v>5.833333333333333</v>
      </c>
      <c r="L96" s="43" t="s">
        <v>29</v>
      </c>
      <c r="M96" s="56" t="s">
        <v>26</v>
      </c>
      <c r="N96" s="43" t="s">
        <v>29</v>
      </c>
      <c r="O96" s="43" t="s">
        <v>29</v>
      </c>
      <c r="P96" s="43" t="s">
        <v>296</v>
      </c>
      <c r="Q96" s="43" t="s">
        <v>300</v>
      </c>
      <c r="R96" s="46"/>
      <c r="S96" s="46">
        <f t="shared" si="22"/>
        <v>9.7222222222222224E-2</v>
      </c>
      <c r="T96" s="46">
        <f t="shared" si="20"/>
        <v>17500</v>
      </c>
      <c r="U96" s="46"/>
      <c r="V96" s="46" t="e">
        <f t="shared" si="16"/>
        <v>#DIV/0!</v>
      </c>
      <c r="W96" s="46" t="e">
        <f t="shared" si="17"/>
        <v>#DIV/0!</v>
      </c>
      <c r="X96" s="46"/>
      <c r="Y96" s="46"/>
      <c r="Z96" s="46"/>
    </row>
    <row r="97" spans="1:26" s="47" customFormat="1" ht="14.25" customHeight="1">
      <c r="A97" s="43">
        <v>59</v>
      </c>
      <c r="B97" s="43" t="s">
        <v>69</v>
      </c>
      <c r="C97" s="43" t="s">
        <v>301</v>
      </c>
      <c r="D97" s="43" t="s">
        <v>29</v>
      </c>
      <c r="E97" s="43" t="s">
        <v>29</v>
      </c>
      <c r="F97" s="43" t="s">
        <v>29</v>
      </c>
      <c r="G97" s="43" t="s">
        <v>26</v>
      </c>
      <c r="H97" s="56">
        <f>1500*60</f>
        <v>90000</v>
      </c>
      <c r="I97" s="56" t="s">
        <v>26</v>
      </c>
      <c r="J97" s="57">
        <f>350/60</f>
        <v>5.833333333333333</v>
      </c>
      <c r="K97" s="57">
        <f t="shared" si="27"/>
        <v>5.833333333333333</v>
      </c>
      <c r="L97" s="43" t="s">
        <v>29</v>
      </c>
      <c r="M97" s="56" t="s">
        <v>26</v>
      </c>
      <c r="N97" s="43" t="s">
        <v>29</v>
      </c>
      <c r="O97" s="43" t="s">
        <v>29</v>
      </c>
      <c r="P97" s="43" t="s">
        <v>296</v>
      </c>
      <c r="Q97" s="43" t="s">
        <v>302</v>
      </c>
      <c r="R97" s="46"/>
      <c r="S97" s="46">
        <f t="shared" si="22"/>
        <v>9.7222222222222224E-2</v>
      </c>
      <c r="T97" s="46">
        <f t="shared" si="20"/>
        <v>8750</v>
      </c>
      <c r="U97" s="46"/>
      <c r="V97" s="46" t="e">
        <f t="shared" si="16"/>
        <v>#DIV/0!</v>
      </c>
      <c r="W97" s="46" t="e">
        <f t="shared" si="17"/>
        <v>#DIV/0!</v>
      </c>
      <c r="X97" s="46"/>
      <c r="Y97" s="46"/>
      <c r="Z97" s="46"/>
    </row>
    <row r="98" spans="1:26" s="47" customFormat="1" ht="14.25" customHeight="1">
      <c r="A98" s="43">
        <v>59</v>
      </c>
      <c r="B98" s="43" t="s">
        <v>69</v>
      </c>
      <c r="C98" s="43" t="s">
        <v>303</v>
      </c>
      <c r="D98" s="43" t="s">
        <v>29</v>
      </c>
      <c r="E98" s="43" t="s">
        <v>29</v>
      </c>
      <c r="F98" s="43" t="s">
        <v>29</v>
      </c>
      <c r="G98" s="43" t="s">
        <v>26</v>
      </c>
      <c r="H98" s="56">
        <f>2000*60</f>
        <v>120000</v>
      </c>
      <c r="I98" s="56" t="s">
        <v>26</v>
      </c>
      <c r="J98" s="57">
        <f t="shared" si="27"/>
        <v>5.833333333333333</v>
      </c>
      <c r="K98" s="57">
        <f t="shared" si="27"/>
        <v>5.833333333333333</v>
      </c>
      <c r="L98" s="43" t="s">
        <v>29</v>
      </c>
      <c r="M98" s="56" t="s">
        <v>26</v>
      </c>
      <c r="N98" s="43" t="s">
        <v>29</v>
      </c>
      <c r="O98" s="43" t="s">
        <v>29</v>
      </c>
      <c r="P98" s="43" t="s">
        <v>296</v>
      </c>
      <c r="Q98" s="43" t="s">
        <v>304</v>
      </c>
      <c r="R98" s="46"/>
      <c r="S98" s="46">
        <f t="shared" si="22"/>
        <v>9.7222222222222224E-2</v>
      </c>
      <c r="T98" s="46">
        <f t="shared" si="20"/>
        <v>11666.666666666666</v>
      </c>
      <c r="U98" s="46"/>
      <c r="V98" s="46" t="e">
        <f t="shared" si="16"/>
        <v>#DIV/0!</v>
      </c>
      <c r="W98" s="46" t="e">
        <f t="shared" si="17"/>
        <v>#DIV/0!</v>
      </c>
      <c r="X98" s="46"/>
      <c r="Y98" s="46"/>
      <c r="Z98" s="46"/>
    </row>
    <row r="99" spans="1:26" s="47" customFormat="1" ht="14.25" customHeight="1">
      <c r="A99" s="43">
        <v>59</v>
      </c>
      <c r="B99" s="43" t="s">
        <v>69</v>
      </c>
      <c r="C99" s="43" t="s">
        <v>305</v>
      </c>
      <c r="D99" s="43" t="s">
        <v>29</v>
      </c>
      <c r="E99" s="43" t="s">
        <v>29</v>
      </c>
      <c r="F99" s="43" t="s">
        <v>29</v>
      </c>
      <c r="G99" s="43" t="s">
        <v>26</v>
      </c>
      <c r="H99" s="56">
        <f>10000*60</f>
        <v>600000</v>
      </c>
      <c r="I99" s="56" t="s">
        <v>26</v>
      </c>
      <c r="J99" s="57">
        <f t="shared" ref="J99:K99" si="28">380/60</f>
        <v>6.333333333333333</v>
      </c>
      <c r="K99" s="57">
        <f t="shared" si="28"/>
        <v>6.333333333333333</v>
      </c>
      <c r="L99" s="43" t="s">
        <v>29</v>
      </c>
      <c r="M99" s="56" t="s">
        <v>26</v>
      </c>
      <c r="N99" s="43" t="s">
        <v>29</v>
      </c>
      <c r="O99" s="43" t="s">
        <v>29</v>
      </c>
      <c r="P99" s="43" t="s">
        <v>29</v>
      </c>
      <c r="Q99" s="43" t="s">
        <v>306</v>
      </c>
      <c r="R99" s="46"/>
      <c r="S99" s="46">
        <f t="shared" si="22"/>
        <v>0.10555555555555556</v>
      </c>
      <c r="T99" s="46">
        <f t="shared" si="20"/>
        <v>63333.333333333336</v>
      </c>
      <c r="U99" s="46"/>
      <c r="V99" s="46" t="e">
        <f t="shared" si="16"/>
        <v>#DIV/0!</v>
      </c>
      <c r="W99" s="46" t="e">
        <f t="shared" si="17"/>
        <v>#DIV/0!</v>
      </c>
      <c r="X99" s="46"/>
      <c r="Y99" s="46"/>
      <c r="Z99" s="46"/>
    </row>
    <row r="100" spans="1:26" s="47" customFormat="1" ht="14.25" customHeight="1">
      <c r="A100" s="41">
        <v>60</v>
      </c>
      <c r="B100" s="41" t="s">
        <v>69</v>
      </c>
      <c r="C100" s="41" t="s">
        <v>90</v>
      </c>
      <c r="D100" s="41" t="s">
        <v>29</v>
      </c>
      <c r="E100" s="41" t="s">
        <v>29</v>
      </c>
      <c r="F100" s="41" t="s">
        <v>29</v>
      </c>
      <c r="G100" s="43" t="s">
        <v>26</v>
      </c>
      <c r="H100" s="81">
        <f>250*60</f>
        <v>15000</v>
      </c>
      <c r="I100" s="81" t="s">
        <v>26</v>
      </c>
      <c r="J100" s="82">
        <f t="shared" ref="J100:K102" si="29">200/60</f>
        <v>3.3333333333333335</v>
      </c>
      <c r="K100" s="82">
        <f t="shared" si="29"/>
        <v>3.3333333333333335</v>
      </c>
      <c r="L100" s="41" t="s">
        <v>29</v>
      </c>
      <c r="M100" s="56" t="s">
        <v>26</v>
      </c>
      <c r="N100" s="41" t="s">
        <v>29</v>
      </c>
      <c r="O100" s="41" t="s">
        <v>29</v>
      </c>
      <c r="P100" s="41" t="s">
        <v>307</v>
      </c>
      <c r="Q100" s="80" t="s">
        <v>539</v>
      </c>
    </row>
    <row r="101" spans="1:26" s="47" customFormat="1" ht="14.25" customHeight="1">
      <c r="A101" s="41">
        <v>60</v>
      </c>
      <c r="B101" s="41" t="s">
        <v>69</v>
      </c>
      <c r="C101" s="41" t="s">
        <v>308</v>
      </c>
      <c r="D101" s="41" t="s">
        <v>29</v>
      </c>
      <c r="E101" s="41" t="s">
        <v>29</v>
      </c>
      <c r="F101" s="41" t="s">
        <v>29</v>
      </c>
      <c r="G101" s="43" t="s">
        <v>26</v>
      </c>
      <c r="H101" s="81">
        <f>80*60</f>
        <v>4800</v>
      </c>
      <c r="I101" s="81" t="s">
        <v>26</v>
      </c>
      <c r="J101" s="82">
        <f t="shared" si="29"/>
        <v>3.3333333333333335</v>
      </c>
      <c r="K101" s="82">
        <f t="shared" si="29"/>
        <v>3.3333333333333335</v>
      </c>
      <c r="L101" s="41" t="s">
        <v>29</v>
      </c>
      <c r="M101" s="56" t="s">
        <v>26</v>
      </c>
      <c r="N101" s="41" t="s">
        <v>29</v>
      </c>
      <c r="O101" s="41" t="s">
        <v>29</v>
      </c>
      <c r="P101" s="41" t="s">
        <v>307</v>
      </c>
      <c r="Q101" s="80" t="s">
        <v>540</v>
      </c>
    </row>
    <row r="102" spans="1:26" s="47" customFormat="1" ht="14.25" customHeight="1">
      <c r="A102" s="41">
        <v>60</v>
      </c>
      <c r="B102" s="41" t="s">
        <v>69</v>
      </c>
      <c r="C102" s="41" t="s">
        <v>29</v>
      </c>
      <c r="D102" s="41" t="s">
        <v>29</v>
      </c>
      <c r="E102" s="41" t="s">
        <v>29</v>
      </c>
      <c r="F102" s="41" t="s">
        <v>29</v>
      </c>
      <c r="G102" s="43" t="s">
        <v>26</v>
      </c>
      <c r="H102" s="81">
        <f>6*60</f>
        <v>360</v>
      </c>
      <c r="I102" s="81" t="s">
        <v>26</v>
      </c>
      <c r="J102" s="82">
        <f t="shared" si="29"/>
        <v>3.3333333333333335</v>
      </c>
      <c r="K102" s="82">
        <f t="shared" si="29"/>
        <v>3.3333333333333335</v>
      </c>
      <c r="L102" s="41" t="s">
        <v>29</v>
      </c>
      <c r="M102" s="56" t="s">
        <v>26</v>
      </c>
      <c r="N102" s="41" t="s">
        <v>29</v>
      </c>
      <c r="O102" s="41" t="s">
        <v>29</v>
      </c>
      <c r="P102" s="41" t="s">
        <v>307</v>
      </c>
      <c r="Q102" s="41" t="s">
        <v>309</v>
      </c>
    </row>
    <row r="103" spans="1:26" s="47" customFormat="1" ht="14.25" customHeight="1">
      <c r="A103" s="41">
        <v>60</v>
      </c>
      <c r="B103" s="41" t="s">
        <v>69</v>
      </c>
      <c r="C103" s="41" t="s">
        <v>29</v>
      </c>
      <c r="D103" s="41" t="s">
        <v>29</v>
      </c>
      <c r="E103" s="41" t="s">
        <v>29</v>
      </c>
      <c r="F103" s="41" t="s">
        <v>29</v>
      </c>
      <c r="G103" s="43" t="s">
        <v>26</v>
      </c>
      <c r="H103" s="81">
        <f>900*60</f>
        <v>54000</v>
      </c>
      <c r="I103" s="81" t="s">
        <v>26</v>
      </c>
      <c r="J103" s="82">
        <f t="shared" ref="J103:K105" si="30">200/60</f>
        <v>3.3333333333333335</v>
      </c>
      <c r="K103" s="82">
        <f t="shared" si="30"/>
        <v>3.3333333333333335</v>
      </c>
      <c r="L103" s="41" t="s">
        <v>29</v>
      </c>
      <c r="M103" s="56" t="s">
        <v>26</v>
      </c>
      <c r="N103" s="41" t="s">
        <v>29</v>
      </c>
      <c r="O103" s="41" t="s">
        <v>29</v>
      </c>
      <c r="P103" s="41" t="s">
        <v>307</v>
      </c>
      <c r="Q103" s="41" t="s">
        <v>310</v>
      </c>
    </row>
    <row r="104" spans="1:26" s="47" customFormat="1" ht="14.25" customHeight="1">
      <c r="A104" s="41">
        <v>60</v>
      </c>
      <c r="B104" s="41" t="s">
        <v>69</v>
      </c>
      <c r="C104" s="41" t="s">
        <v>29</v>
      </c>
      <c r="D104" s="41" t="s">
        <v>29</v>
      </c>
      <c r="E104" s="41" t="s">
        <v>29</v>
      </c>
      <c r="F104" s="41" t="s">
        <v>29</v>
      </c>
      <c r="G104" s="43" t="s">
        <v>26</v>
      </c>
      <c r="H104" s="81">
        <f>44*60</f>
        <v>2640</v>
      </c>
      <c r="I104" s="81" t="s">
        <v>26</v>
      </c>
      <c r="J104" s="82">
        <f>200/60</f>
        <v>3.3333333333333335</v>
      </c>
      <c r="K104" s="82">
        <f t="shared" si="30"/>
        <v>3.3333333333333335</v>
      </c>
      <c r="L104" s="41" t="s">
        <v>29</v>
      </c>
      <c r="M104" s="56" t="s">
        <v>26</v>
      </c>
      <c r="N104" s="41" t="s">
        <v>29</v>
      </c>
      <c r="O104" s="41" t="s">
        <v>29</v>
      </c>
      <c r="P104" s="41" t="s">
        <v>307</v>
      </c>
      <c r="Q104" s="41" t="s">
        <v>311</v>
      </c>
    </row>
    <row r="105" spans="1:26" s="47" customFormat="1" ht="14.25" customHeight="1">
      <c r="A105" s="41">
        <v>60</v>
      </c>
      <c r="B105" s="41" t="s">
        <v>69</v>
      </c>
      <c r="C105" s="41" t="s">
        <v>29</v>
      </c>
      <c r="D105" s="41" t="s">
        <v>29</v>
      </c>
      <c r="E105" s="41" t="s">
        <v>29</v>
      </c>
      <c r="F105" s="41" t="s">
        <v>29</v>
      </c>
      <c r="G105" s="43" t="s">
        <v>26</v>
      </c>
      <c r="H105" s="81">
        <f>220*60</f>
        <v>13200</v>
      </c>
      <c r="I105" s="81" t="s">
        <v>26</v>
      </c>
      <c r="J105" s="82">
        <f t="shared" si="30"/>
        <v>3.3333333333333335</v>
      </c>
      <c r="K105" s="82">
        <f t="shared" si="30"/>
        <v>3.3333333333333335</v>
      </c>
      <c r="L105" s="41" t="s">
        <v>29</v>
      </c>
      <c r="M105" s="56" t="s">
        <v>26</v>
      </c>
      <c r="N105" s="41" t="s">
        <v>29</v>
      </c>
      <c r="O105" s="41" t="s">
        <v>29</v>
      </c>
      <c r="P105" s="41" t="s">
        <v>307</v>
      </c>
      <c r="Q105" s="41" t="s">
        <v>312</v>
      </c>
    </row>
    <row r="106" spans="1:26" s="47" customFormat="1" ht="14.25" customHeight="1">
      <c r="A106" s="41">
        <v>60</v>
      </c>
      <c r="B106" s="41" t="s">
        <v>313</v>
      </c>
      <c r="C106" s="41" t="s">
        <v>29</v>
      </c>
      <c r="D106" s="41" t="s">
        <v>29</v>
      </c>
      <c r="E106" s="41" t="s">
        <v>29</v>
      </c>
      <c r="F106" s="41" t="s">
        <v>29</v>
      </c>
      <c r="G106" s="43" t="s">
        <v>26</v>
      </c>
      <c r="H106" s="41">
        <v>1300</v>
      </c>
      <c r="I106" s="41" t="s">
        <v>26</v>
      </c>
      <c r="J106" s="41">
        <v>25</v>
      </c>
      <c r="K106" s="41">
        <v>80</v>
      </c>
      <c r="L106" s="41" t="s">
        <v>29</v>
      </c>
      <c r="M106" s="56" t="s">
        <v>26</v>
      </c>
      <c r="N106" s="41" t="s">
        <v>29</v>
      </c>
      <c r="O106" s="41" t="s">
        <v>29</v>
      </c>
      <c r="P106" s="41" t="s">
        <v>307</v>
      </c>
      <c r="Q106" s="41" t="s">
        <v>311</v>
      </c>
    </row>
    <row r="107" spans="1:26" s="47" customFormat="1" ht="14.25" customHeight="1">
      <c r="A107" s="41">
        <v>60</v>
      </c>
      <c r="B107" s="41" t="s">
        <v>313</v>
      </c>
      <c r="C107" s="41" t="s">
        <v>29</v>
      </c>
      <c r="D107" s="80" t="s">
        <v>542</v>
      </c>
      <c r="E107" s="41" t="s">
        <v>29</v>
      </c>
      <c r="F107" s="41">
        <v>400</v>
      </c>
      <c r="G107" s="80" t="s">
        <v>26</v>
      </c>
      <c r="H107" s="41">
        <v>1300</v>
      </c>
      <c r="I107" s="41" t="s">
        <v>26</v>
      </c>
      <c r="J107" s="41">
        <v>25</v>
      </c>
      <c r="K107" s="41">
        <v>80</v>
      </c>
      <c r="L107" s="41" t="s">
        <v>29</v>
      </c>
      <c r="M107" s="56" t="s">
        <v>26</v>
      </c>
      <c r="N107" s="41" t="s">
        <v>29</v>
      </c>
      <c r="O107" s="41" t="s">
        <v>29</v>
      </c>
      <c r="P107" s="41" t="s">
        <v>307</v>
      </c>
      <c r="Q107" s="41" t="s">
        <v>310</v>
      </c>
    </row>
    <row r="108" spans="1:26" s="47" customFormat="1" ht="14.25" customHeight="1">
      <c r="A108" s="41">
        <v>60</v>
      </c>
      <c r="B108" s="41" t="s">
        <v>69</v>
      </c>
      <c r="C108" s="41" t="s">
        <v>142</v>
      </c>
      <c r="D108" s="41" t="s">
        <v>314</v>
      </c>
      <c r="E108" s="41" t="s">
        <v>29</v>
      </c>
      <c r="F108" s="41">
        <v>100</v>
      </c>
      <c r="G108" s="41" t="s">
        <v>26</v>
      </c>
      <c r="H108" s="81" t="s">
        <v>29</v>
      </c>
      <c r="I108" s="81" t="s">
        <v>29</v>
      </c>
      <c r="J108" s="9">
        <f>200/60</f>
        <v>3.3333333333333335</v>
      </c>
      <c r="K108" s="9">
        <f>200/60</f>
        <v>3.3333333333333335</v>
      </c>
      <c r="L108" s="41" t="s">
        <v>29</v>
      </c>
      <c r="M108" s="56" t="s">
        <v>26</v>
      </c>
      <c r="N108" s="41" t="s">
        <v>29</v>
      </c>
      <c r="O108" s="41" t="s">
        <v>29</v>
      </c>
      <c r="P108" s="41" t="s">
        <v>307</v>
      </c>
      <c r="Q108" s="41" t="s">
        <v>29</v>
      </c>
    </row>
    <row r="109" spans="1:26" s="47" customFormat="1" ht="14.25" customHeight="1">
      <c r="A109" s="41">
        <v>61</v>
      </c>
      <c r="B109" s="41" t="s">
        <v>91</v>
      </c>
      <c r="C109" s="41" t="s">
        <v>90</v>
      </c>
      <c r="D109" s="41" t="s">
        <v>315</v>
      </c>
      <c r="E109" s="41" t="s">
        <v>29</v>
      </c>
      <c r="F109" s="41" t="s">
        <v>29</v>
      </c>
      <c r="G109" s="41" t="s">
        <v>26</v>
      </c>
      <c r="H109" s="41">
        <v>40</v>
      </c>
      <c r="I109" s="80" t="s">
        <v>499</v>
      </c>
      <c r="J109" s="41">
        <v>45</v>
      </c>
      <c r="K109" s="41">
        <v>70</v>
      </c>
      <c r="L109" s="41" t="s">
        <v>29</v>
      </c>
      <c r="M109" s="56" t="s">
        <v>26</v>
      </c>
      <c r="N109" s="41" t="s">
        <v>29</v>
      </c>
      <c r="O109" s="41" t="s">
        <v>29</v>
      </c>
      <c r="P109" s="41" t="s">
        <v>316</v>
      </c>
      <c r="Q109" s="41" t="s">
        <v>317</v>
      </c>
    </row>
    <row r="110" spans="1:26" s="47" customFormat="1" ht="14.25" customHeight="1">
      <c r="A110" s="41">
        <v>61</v>
      </c>
      <c r="B110" s="41" t="s">
        <v>91</v>
      </c>
      <c r="C110" s="41" t="s">
        <v>90</v>
      </c>
      <c r="D110" s="41" t="s">
        <v>315</v>
      </c>
      <c r="E110" s="41" t="s">
        <v>29</v>
      </c>
      <c r="F110" s="41" t="s">
        <v>29</v>
      </c>
      <c r="G110" s="41" t="s">
        <v>26</v>
      </c>
      <c r="H110" s="41">
        <v>100</v>
      </c>
      <c r="I110" s="80" t="s">
        <v>499</v>
      </c>
      <c r="J110" s="41">
        <v>45</v>
      </c>
      <c r="K110" s="41">
        <v>70</v>
      </c>
      <c r="L110" s="41" t="s">
        <v>29</v>
      </c>
      <c r="M110" s="56" t="s">
        <v>26</v>
      </c>
      <c r="N110" s="41" t="s">
        <v>29</v>
      </c>
      <c r="O110" s="41" t="s">
        <v>29</v>
      </c>
      <c r="P110" s="41" t="s">
        <v>316</v>
      </c>
      <c r="Q110" s="41" t="s">
        <v>318</v>
      </c>
    </row>
    <row r="111" spans="1:26" s="47" customFormat="1" ht="14.25" customHeight="1">
      <c r="A111" s="41">
        <v>61</v>
      </c>
      <c r="B111" s="41" t="s">
        <v>91</v>
      </c>
      <c r="C111" s="41" t="s">
        <v>90</v>
      </c>
      <c r="D111" s="41" t="s">
        <v>315</v>
      </c>
      <c r="E111" s="41" t="s">
        <v>29</v>
      </c>
      <c r="F111" s="41" t="s">
        <v>29</v>
      </c>
      <c r="G111" s="41" t="s">
        <v>26</v>
      </c>
      <c r="H111" s="41">
        <v>80</v>
      </c>
      <c r="I111" s="80" t="s">
        <v>499</v>
      </c>
      <c r="J111" s="41">
        <v>45</v>
      </c>
      <c r="K111" s="41">
        <v>70</v>
      </c>
      <c r="L111" s="41" t="s">
        <v>29</v>
      </c>
      <c r="M111" s="56" t="s">
        <v>26</v>
      </c>
      <c r="N111" s="41" t="s">
        <v>29</v>
      </c>
      <c r="O111" s="41" t="s">
        <v>29</v>
      </c>
      <c r="P111" s="41" t="s">
        <v>316</v>
      </c>
      <c r="Q111" s="41" t="s">
        <v>319</v>
      </c>
    </row>
    <row r="112" spans="1:26" s="47" customFormat="1" ht="14.25" customHeight="1">
      <c r="A112" s="41">
        <v>61</v>
      </c>
      <c r="B112" s="41" t="s">
        <v>91</v>
      </c>
      <c r="C112" s="41" t="s">
        <v>320</v>
      </c>
      <c r="D112" s="41" t="s">
        <v>315</v>
      </c>
      <c r="E112" s="41" t="s">
        <v>29</v>
      </c>
      <c r="F112" s="41" t="s">
        <v>29</v>
      </c>
      <c r="G112" s="41" t="s">
        <v>26</v>
      </c>
      <c r="H112" s="41">
        <v>80</v>
      </c>
      <c r="I112" s="80" t="s">
        <v>499</v>
      </c>
      <c r="J112" s="41">
        <v>45</v>
      </c>
      <c r="K112" s="41">
        <v>70</v>
      </c>
      <c r="L112" s="41" t="s">
        <v>29</v>
      </c>
      <c r="M112" s="56" t="s">
        <v>26</v>
      </c>
      <c r="N112" s="41" t="s">
        <v>29</v>
      </c>
      <c r="O112" s="41" t="s">
        <v>29</v>
      </c>
      <c r="P112" s="41" t="s">
        <v>316</v>
      </c>
      <c r="Q112" s="41" t="s">
        <v>321</v>
      </c>
    </row>
    <row r="113" spans="1:17" s="47" customFormat="1" ht="14.25" customHeight="1">
      <c r="A113" s="41">
        <v>61</v>
      </c>
      <c r="B113" s="41" t="s">
        <v>91</v>
      </c>
      <c r="C113" s="41" t="s">
        <v>322</v>
      </c>
      <c r="D113" s="41" t="s">
        <v>315</v>
      </c>
      <c r="E113" s="41" t="s">
        <v>29</v>
      </c>
      <c r="F113" s="41" t="s">
        <v>29</v>
      </c>
      <c r="G113" s="41" t="s">
        <v>26</v>
      </c>
      <c r="H113" s="41">
        <v>200</v>
      </c>
      <c r="I113" s="80" t="s">
        <v>499</v>
      </c>
      <c r="J113" s="41">
        <v>45</v>
      </c>
      <c r="K113" s="41">
        <v>70</v>
      </c>
      <c r="L113" s="41" t="s">
        <v>29</v>
      </c>
      <c r="M113" s="56" t="s">
        <v>26</v>
      </c>
      <c r="N113" s="41" t="s">
        <v>29</v>
      </c>
      <c r="O113" s="41" t="s">
        <v>29</v>
      </c>
      <c r="P113" s="41" t="s">
        <v>316</v>
      </c>
      <c r="Q113" s="41" t="s">
        <v>323</v>
      </c>
    </row>
    <row r="114" spans="1:17" s="47" customFormat="1" ht="14.25" customHeight="1">
      <c r="A114" s="41">
        <v>61</v>
      </c>
      <c r="B114" s="41" t="s">
        <v>91</v>
      </c>
      <c r="C114" s="41" t="s">
        <v>29</v>
      </c>
      <c r="D114" s="41" t="s">
        <v>315</v>
      </c>
      <c r="E114" s="41" t="s">
        <v>29</v>
      </c>
      <c r="F114" s="41" t="s">
        <v>29</v>
      </c>
      <c r="G114" s="41" t="s">
        <v>26</v>
      </c>
      <c r="H114" s="41">
        <v>20</v>
      </c>
      <c r="I114" s="80" t="s">
        <v>499</v>
      </c>
      <c r="J114" s="41">
        <v>45</v>
      </c>
      <c r="K114" s="41">
        <v>70</v>
      </c>
      <c r="L114" s="41" t="s">
        <v>29</v>
      </c>
      <c r="M114" s="56" t="s">
        <v>26</v>
      </c>
      <c r="N114" s="41" t="s">
        <v>29</v>
      </c>
      <c r="O114" s="41" t="s">
        <v>29</v>
      </c>
      <c r="P114" s="41" t="s">
        <v>316</v>
      </c>
      <c r="Q114" s="41" t="s">
        <v>324</v>
      </c>
    </row>
    <row r="115" spans="1:17" s="47" customFormat="1" ht="13.8" customHeight="1">
      <c r="A115" s="41">
        <v>61</v>
      </c>
      <c r="B115" s="41" t="s">
        <v>91</v>
      </c>
      <c r="C115" s="41" t="s">
        <v>90</v>
      </c>
      <c r="D115" s="41" t="s">
        <v>315</v>
      </c>
      <c r="E115" s="41" t="s">
        <v>29</v>
      </c>
      <c r="F115" s="41" t="s">
        <v>29</v>
      </c>
      <c r="G115" s="41" t="s">
        <v>26</v>
      </c>
      <c r="H115" s="41">
        <v>30</v>
      </c>
      <c r="I115" s="80" t="s">
        <v>499</v>
      </c>
      <c r="J115" s="41">
        <v>45</v>
      </c>
      <c r="K115" s="41">
        <v>70</v>
      </c>
      <c r="L115" s="41" t="s">
        <v>29</v>
      </c>
      <c r="M115" s="56" t="s">
        <v>26</v>
      </c>
      <c r="N115" s="41" t="s">
        <v>29</v>
      </c>
      <c r="O115" s="41" t="s">
        <v>29</v>
      </c>
      <c r="P115" s="41" t="s">
        <v>316</v>
      </c>
      <c r="Q115" s="41" t="s">
        <v>325</v>
      </c>
    </row>
    <row r="116" spans="1:17" s="47" customFormat="1" ht="13.8" customHeight="1">
      <c r="A116" s="41">
        <v>61</v>
      </c>
      <c r="B116" s="41" t="s">
        <v>91</v>
      </c>
      <c r="C116" s="41" t="s">
        <v>90</v>
      </c>
      <c r="D116" s="41" t="s">
        <v>315</v>
      </c>
      <c r="E116" s="41" t="s">
        <v>29</v>
      </c>
      <c r="F116" s="41" t="s">
        <v>29</v>
      </c>
      <c r="G116" s="41" t="s">
        <v>26</v>
      </c>
      <c r="H116" s="41">
        <v>80</v>
      </c>
      <c r="I116" s="80" t="s">
        <v>499</v>
      </c>
      <c r="J116" s="41">
        <v>45</v>
      </c>
      <c r="K116" s="41">
        <v>70</v>
      </c>
      <c r="L116" s="41" t="s">
        <v>29</v>
      </c>
      <c r="M116" s="56" t="s">
        <v>26</v>
      </c>
      <c r="N116" s="41" t="s">
        <v>29</v>
      </c>
      <c r="O116" s="41" t="s">
        <v>29</v>
      </c>
      <c r="P116" s="41" t="s">
        <v>316</v>
      </c>
      <c r="Q116" s="41" t="s">
        <v>326</v>
      </c>
    </row>
    <row r="117" spans="1:17" s="47" customFormat="1" ht="14.25" customHeight="1">
      <c r="A117" s="41">
        <v>61</v>
      </c>
      <c r="B117" s="41" t="s">
        <v>91</v>
      </c>
      <c r="C117" s="41" t="s">
        <v>320</v>
      </c>
      <c r="D117" s="41" t="s">
        <v>315</v>
      </c>
      <c r="E117" s="41" t="s">
        <v>29</v>
      </c>
      <c r="F117" s="41" t="s">
        <v>29</v>
      </c>
      <c r="G117" s="41" t="s">
        <v>26</v>
      </c>
      <c r="H117" s="41">
        <v>20</v>
      </c>
      <c r="I117" s="80" t="s">
        <v>499</v>
      </c>
      <c r="J117" s="41">
        <v>45</v>
      </c>
      <c r="K117" s="41">
        <v>70</v>
      </c>
      <c r="L117" s="41" t="s">
        <v>29</v>
      </c>
      <c r="M117" s="56" t="s">
        <v>26</v>
      </c>
      <c r="N117" s="41" t="s">
        <v>29</v>
      </c>
      <c r="O117" s="41" t="s">
        <v>29</v>
      </c>
      <c r="P117" s="41" t="s">
        <v>316</v>
      </c>
      <c r="Q117" s="41" t="s">
        <v>327</v>
      </c>
    </row>
    <row r="118" spans="1:17" s="47" customFormat="1" ht="14.25" customHeight="1">
      <c r="A118" s="41">
        <v>61</v>
      </c>
      <c r="B118" s="41" t="s">
        <v>91</v>
      </c>
      <c r="C118" s="41" t="s">
        <v>328</v>
      </c>
      <c r="D118" s="41" t="s">
        <v>315</v>
      </c>
      <c r="E118" s="41" t="s">
        <v>29</v>
      </c>
      <c r="F118" s="41" t="s">
        <v>29</v>
      </c>
      <c r="G118" s="41" t="s">
        <v>26</v>
      </c>
      <c r="H118" s="41">
        <v>20</v>
      </c>
      <c r="I118" s="80" t="s">
        <v>499</v>
      </c>
      <c r="J118" s="41">
        <v>45</v>
      </c>
      <c r="K118" s="41">
        <v>70</v>
      </c>
      <c r="L118" s="41" t="s">
        <v>29</v>
      </c>
      <c r="M118" s="56" t="s">
        <v>26</v>
      </c>
      <c r="N118" s="41" t="s">
        <v>29</v>
      </c>
      <c r="O118" s="41" t="s">
        <v>29</v>
      </c>
      <c r="P118" s="41" t="s">
        <v>316</v>
      </c>
      <c r="Q118" s="41" t="s">
        <v>329</v>
      </c>
    </row>
    <row r="119" spans="1:17" s="47" customFormat="1" ht="14.25" customHeight="1">
      <c r="A119" s="41">
        <v>61</v>
      </c>
      <c r="B119" s="41" t="s">
        <v>91</v>
      </c>
      <c r="C119" s="41" t="s">
        <v>328</v>
      </c>
      <c r="D119" s="41" t="s">
        <v>315</v>
      </c>
      <c r="E119" s="41" t="s">
        <v>29</v>
      </c>
      <c r="F119" s="41" t="s">
        <v>29</v>
      </c>
      <c r="G119" s="41" t="s">
        <v>26</v>
      </c>
      <c r="H119" s="41">
        <v>20</v>
      </c>
      <c r="I119" s="80" t="s">
        <v>499</v>
      </c>
      <c r="J119" s="41">
        <v>45</v>
      </c>
      <c r="K119" s="41">
        <v>70</v>
      </c>
      <c r="L119" s="41" t="s">
        <v>29</v>
      </c>
      <c r="M119" s="56" t="s">
        <v>26</v>
      </c>
      <c r="N119" s="41" t="s">
        <v>29</v>
      </c>
      <c r="O119" s="41" t="s">
        <v>29</v>
      </c>
      <c r="P119" s="41" t="s">
        <v>316</v>
      </c>
      <c r="Q119" s="41" t="s">
        <v>330</v>
      </c>
    </row>
    <row r="120" spans="1:17" s="47" customFormat="1" ht="14.25" customHeight="1">
      <c r="A120" s="41">
        <v>61</v>
      </c>
      <c r="B120" s="41" t="s">
        <v>91</v>
      </c>
      <c r="C120" s="41" t="s">
        <v>328</v>
      </c>
      <c r="D120" s="41" t="s">
        <v>315</v>
      </c>
      <c r="E120" s="41" t="s">
        <v>29</v>
      </c>
      <c r="F120" s="41" t="s">
        <v>29</v>
      </c>
      <c r="G120" s="41" t="s">
        <v>26</v>
      </c>
      <c r="H120" s="41">
        <v>20</v>
      </c>
      <c r="I120" s="80" t="s">
        <v>499</v>
      </c>
      <c r="J120" s="41">
        <v>45</v>
      </c>
      <c r="K120" s="41">
        <v>70</v>
      </c>
      <c r="L120" s="41" t="s">
        <v>29</v>
      </c>
      <c r="M120" s="56" t="s">
        <v>26</v>
      </c>
      <c r="N120" s="41" t="s">
        <v>29</v>
      </c>
      <c r="O120" s="41" t="s">
        <v>29</v>
      </c>
      <c r="P120" s="41" t="s">
        <v>316</v>
      </c>
      <c r="Q120" s="41" t="s">
        <v>331</v>
      </c>
    </row>
    <row r="121" spans="1:17" s="47" customFormat="1" ht="14.25" customHeight="1">
      <c r="A121" s="41">
        <v>61</v>
      </c>
      <c r="B121" s="41" t="s">
        <v>91</v>
      </c>
      <c r="C121" s="41" t="s">
        <v>332</v>
      </c>
      <c r="D121" s="41" t="s">
        <v>315</v>
      </c>
      <c r="E121" s="41" t="s">
        <v>29</v>
      </c>
      <c r="F121" s="41" t="s">
        <v>29</v>
      </c>
      <c r="G121" s="41" t="s">
        <v>26</v>
      </c>
      <c r="H121" s="41">
        <v>25</v>
      </c>
      <c r="I121" s="80" t="s">
        <v>499</v>
      </c>
      <c r="J121" s="41">
        <v>45</v>
      </c>
      <c r="K121" s="41">
        <v>70</v>
      </c>
      <c r="L121" s="41" t="s">
        <v>29</v>
      </c>
      <c r="M121" s="56" t="s">
        <v>26</v>
      </c>
      <c r="N121" s="41" t="s">
        <v>29</v>
      </c>
      <c r="O121" s="41" t="s">
        <v>29</v>
      </c>
      <c r="P121" s="41" t="s">
        <v>316</v>
      </c>
      <c r="Q121" s="41" t="s">
        <v>320</v>
      </c>
    </row>
    <row r="122" spans="1:17" s="47" customFormat="1" ht="14.25" customHeight="1">
      <c r="A122" s="41">
        <v>61</v>
      </c>
      <c r="B122" s="41" t="s">
        <v>91</v>
      </c>
      <c r="C122" s="41" t="s">
        <v>333</v>
      </c>
      <c r="D122" s="41" t="s">
        <v>315</v>
      </c>
      <c r="E122" s="41" t="s">
        <v>29</v>
      </c>
      <c r="F122" s="41" t="s">
        <v>29</v>
      </c>
      <c r="G122" s="41" t="s">
        <v>26</v>
      </c>
      <c r="H122" s="41">
        <v>210</v>
      </c>
      <c r="I122" s="80" t="s">
        <v>499</v>
      </c>
      <c r="J122" s="41">
        <v>45</v>
      </c>
      <c r="K122" s="41">
        <v>70</v>
      </c>
      <c r="L122" s="41" t="s">
        <v>29</v>
      </c>
      <c r="M122" s="56" t="s">
        <v>26</v>
      </c>
      <c r="N122" s="41" t="s">
        <v>29</v>
      </c>
      <c r="O122" s="41" t="s">
        <v>29</v>
      </c>
      <c r="P122" s="41" t="s">
        <v>316</v>
      </c>
      <c r="Q122" s="41" t="s">
        <v>29</v>
      </c>
    </row>
    <row r="123" spans="1:17" s="47" customFormat="1" ht="14.25" customHeight="1">
      <c r="A123" s="41">
        <v>61</v>
      </c>
      <c r="B123" s="41" t="s">
        <v>91</v>
      </c>
      <c r="C123" s="41" t="s">
        <v>334</v>
      </c>
      <c r="D123" s="41" t="s">
        <v>315</v>
      </c>
      <c r="E123" s="41" t="s">
        <v>29</v>
      </c>
      <c r="F123" s="41" t="s">
        <v>29</v>
      </c>
      <c r="G123" s="41" t="s">
        <v>26</v>
      </c>
      <c r="H123" s="41">
        <v>14</v>
      </c>
      <c r="I123" s="80" t="s">
        <v>499</v>
      </c>
      <c r="J123" s="41">
        <v>45</v>
      </c>
      <c r="K123" s="41">
        <v>70</v>
      </c>
      <c r="L123" s="41" t="s">
        <v>29</v>
      </c>
      <c r="M123" s="56" t="s">
        <v>26</v>
      </c>
      <c r="N123" s="41" t="s">
        <v>29</v>
      </c>
      <c r="O123" s="41" t="s">
        <v>29</v>
      </c>
      <c r="P123" s="41" t="s">
        <v>316</v>
      </c>
      <c r="Q123" s="41" t="s">
        <v>79</v>
      </c>
    </row>
    <row r="124" spans="1:17" s="47" customFormat="1" ht="14.25" customHeight="1">
      <c r="A124" s="41">
        <v>61</v>
      </c>
      <c r="B124" s="41" t="s">
        <v>91</v>
      </c>
      <c r="C124" s="41" t="s">
        <v>29</v>
      </c>
      <c r="D124" s="41" t="s">
        <v>315</v>
      </c>
      <c r="E124" s="41" t="s">
        <v>29</v>
      </c>
      <c r="F124" s="41" t="s">
        <v>29</v>
      </c>
      <c r="G124" s="41" t="s">
        <v>26</v>
      </c>
      <c r="H124" s="41">
        <v>30</v>
      </c>
      <c r="I124" s="80" t="s">
        <v>499</v>
      </c>
      <c r="J124" s="41">
        <v>45</v>
      </c>
      <c r="K124" s="41">
        <v>70</v>
      </c>
      <c r="L124" s="41" t="s">
        <v>29</v>
      </c>
      <c r="M124" s="56" t="s">
        <v>26</v>
      </c>
      <c r="N124" s="41" t="s">
        <v>29</v>
      </c>
      <c r="O124" s="41" t="s">
        <v>29</v>
      </c>
      <c r="P124" s="41" t="s">
        <v>316</v>
      </c>
      <c r="Q124" s="41" t="s">
        <v>335</v>
      </c>
    </row>
    <row r="125" spans="1:17" s="47" customFormat="1" ht="14.25" customHeight="1">
      <c r="A125" s="41">
        <v>61</v>
      </c>
      <c r="B125" s="41" t="s">
        <v>91</v>
      </c>
      <c r="C125" s="41" t="s">
        <v>322</v>
      </c>
      <c r="D125" s="41" t="s">
        <v>315</v>
      </c>
      <c r="E125" s="41" t="s">
        <v>29</v>
      </c>
      <c r="F125" s="41" t="s">
        <v>29</v>
      </c>
      <c r="G125" s="41" t="s">
        <v>26</v>
      </c>
      <c r="H125" s="41">
        <v>70</v>
      </c>
      <c r="I125" s="80" t="s">
        <v>498</v>
      </c>
      <c r="J125" s="41">
        <v>45</v>
      </c>
      <c r="K125" s="41">
        <v>70</v>
      </c>
      <c r="L125" s="41" t="s">
        <v>29</v>
      </c>
      <c r="M125" s="56" t="s">
        <v>26</v>
      </c>
      <c r="N125" s="41" t="s">
        <v>29</v>
      </c>
      <c r="O125" s="41" t="s">
        <v>29</v>
      </c>
      <c r="P125" s="41" t="s">
        <v>316</v>
      </c>
      <c r="Q125" s="41" t="s">
        <v>336</v>
      </c>
    </row>
    <row r="126" spans="1:17" s="47" customFormat="1" ht="14.25" customHeight="1">
      <c r="A126" s="41">
        <v>61</v>
      </c>
      <c r="B126" s="41" t="s">
        <v>91</v>
      </c>
      <c r="C126" s="41" t="s">
        <v>322</v>
      </c>
      <c r="D126" s="41" t="s">
        <v>315</v>
      </c>
      <c r="E126" s="41" t="s">
        <v>29</v>
      </c>
      <c r="F126" s="41" t="s">
        <v>29</v>
      </c>
      <c r="G126" s="41" t="s">
        <v>26</v>
      </c>
      <c r="H126" s="41">
        <v>60</v>
      </c>
      <c r="I126" s="80" t="s">
        <v>499</v>
      </c>
      <c r="J126" s="41">
        <v>45</v>
      </c>
      <c r="K126" s="41">
        <v>85</v>
      </c>
      <c r="L126" s="41" t="s">
        <v>29</v>
      </c>
      <c r="M126" s="56" t="s">
        <v>26</v>
      </c>
      <c r="N126" s="41" t="s">
        <v>29</v>
      </c>
      <c r="O126" s="41" t="s">
        <v>29</v>
      </c>
      <c r="P126" s="41" t="s">
        <v>316</v>
      </c>
      <c r="Q126" s="41" t="s">
        <v>336</v>
      </c>
    </row>
    <row r="127" spans="1:17" s="47" customFormat="1" ht="14.25" customHeight="1">
      <c r="A127" s="41">
        <v>61</v>
      </c>
      <c r="B127" s="41" t="s">
        <v>91</v>
      </c>
      <c r="C127" s="41" t="s">
        <v>142</v>
      </c>
      <c r="D127" s="80" t="s">
        <v>550</v>
      </c>
      <c r="E127" s="41" t="s">
        <v>29</v>
      </c>
      <c r="F127" s="41">
        <v>200</v>
      </c>
      <c r="G127" s="41" t="s">
        <v>26</v>
      </c>
      <c r="H127" s="80" t="s">
        <v>29</v>
      </c>
      <c r="I127" s="80" t="s">
        <v>29</v>
      </c>
      <c r="J127" s="41">
        <v>45</v>
      </c>
      <c r="K127" s="41">
        <v>70</v>
      </c>
      <c r="L127" s="41" t="s">
        <v>29</v>
      </c>
      <c r="M127" s="56" t="s">
        <v>26</v>
      </c>
      <c r="N127" s="41" t="s">
        <v>29</v>
      </c>
      <c r="O127" s="41" t="s">
        <v>29</v>
      </c>
      <c r="P127" s="41" t="s">
        <v>316</v>
      </c>
      <c r="Q127" s="41" t="s">
        <v>29</v>
      </c>
    </row>
    <row r="128" spans="1:17" s="47" customFormat="1" ht="14.25" customHeight="1">
      <c r="A128" s="41">
        <v>62</v>
      </c>
      <c r="B128" s="41" t="s">
        <v>69</v>
      </c>
      <c r="C128" s="41" t="s">
        <v>337</v>
      </c>
      <c r="D128" s="41" t="s">
        <v>315</v>
      </c>
      <c r="E128" s="41" t="s">
        <v>29</v>
      </c>
      <c r="F128" s="41" t="s">
        <v>29</v>
      </c>
      <c r="G128" s="120" t="s">
        <v>26</v>
      </c>
      <c r="H128" s="126">
        <f>650*60</f>
        <v>39000</v>
      </c>
      <c r="I128" s="126" t="s">
        <v>26</v>
      </c>
      <c r="J128" s="149">
        <f>130/60</f>
        <v>2.1666666666666665</v>
      </c>
      <c r="K128" s="149">
        <f t="shared" ref="K128" si="31">130/60</f>
        <v>2.1666666666666665</v>
      </c>
      <c r="L128" s="41" t="s">
        <v>29</v>
      </c>
      <c r="M128" s="56" t="s">
        <v>26</v>
      </c>
      <c r="N128" s="41" t="s">
        <v>29</v>
      </c>
      <c r="O128" s="41" t="s">
        <v>29</v>
      </c>
      <c r="P128" s="41" t="s">
        <v>338</v>
      </c>
      <c r="Q128" s="41" t="s">
        <v>339</v>
      </c>
    </row>
    <row r="129" spans="1:17" s="47" customFormat="1" ht="14.25" customHeight="1">
      <c r="A129" s="41">
        <v>62</v>
      </c>
      <c r="B129" s="41" t="s">
        <v>69</v>
      </c>
      <c r="C129" s="41" t="s">
        <v>337</v>
      </c>
      <c r="D129" s="41" t="s">
        <v>315</v>
      </c>
      <c r="E129" s="41" t="s">
        <v>29</v>
      </c>
      <c r="F129" s="41" t="s">
        <v>29</v>
      </c>
      <c r="G129" s="129"/>
      <c r="H129" s="148"/>
      <c r="I129" s="148"/>
      <c r="J129" s="150"/>
      <c r="K129" s="150"/>
      <c r="L129" s="41" t="s">
        <v>29</v>
      </c>
      <c r="M129" s="56" t="s">
        <v>26</v>
      </c>
      <c r="N129" s="41" t="s">
        <v>29</v>
      </c>
      <c r="O129" s="41" t="s">
        <v>29</v>
      </c>
      <c r="P129" s="41" t="s">
        <v>29</v>
      </c>
      <c r="Q129" s="41" t="s">
        <v>340</v>
      </c>
    </row>
    <row r="130" spans="1:17" s="47" customFormat="1" ht="14.25" customHeight="1">
      <c r="A130" s="41">
        <v>62</v>
      </c>
      <c r="B130" s="41" t="s">
        <v>69</v>
      </c>
      <c r="C130" s="41" t="s">
        <v>79</v>
      </c>
      <c r="D130" s="41" t="s">
        <v>315</v>
      </c>
      <c r="E130" s="41" t="s">
        <v>29</v>
      </c>
      <c r="F130" s="41" t="s">
        <v>29</v>
      </c>
      <c r="G130" s="129"/>
      <c r="H130" s="148"/>
      <c r="I130" s="148"/>
      <c r="J130" s="150"/>
      <c r="K130" s="150"/>
      <c r="L130" s="41" t="s">
        <v>29</v>
      </c>
      <c r="M130" s="56" t="s">
        <v>26</v>
      </c>
      <c r="N130" s="41" t="s">
        <v>29</v>
      </c>
      <c r="O130" s="41" t="s">
        <v>29</v>
      </c>
      <c r="P130" s="41" t="s">
        <v>29</v>
      </c>
      <c r="Q130" s="41" t="s">
        <v>341</v>
      </c>
    </row>
    <row r="131" spans="1:17" s="47" customFormat="1" ht="14.25" customHeight="1">
      <c r="A131" s="41">
        <v>62</v>
      </c>
      <c r="B131" s="41" t="s">
        <v>69</v>
      </c>
      <c r="C131" s="41" t="s">
        <v>337</v>
      </c>
      <c r="D131" s="41" t="s">
        <v>315</v>
      </c>
      <c r="E131" s="41" t="s">
        <v>29</v>
      </c>
      <c r="F131" s="41" t="s">
        <v>29</v>
      </c>
      <c r="G131" s="129"/>
      <c r="H131" s="148"/>
      <c r="I131" s="148"/>
      <c r="J131" s="150"/>
      <c r="K131" s="150"/>
      <c r="L131" s="41" t="s">
        <v>29</v>
      </c>
      <c r="M131" s="56" t="s">
        <v>26</v>
      </c>
      <c r="N131" s="41" t="s">
        <v>29</v>
      </c>
      <c r="O131" s="41" t="s">
        <v>29</v>
      </c>
      <c r="P131" s="41" t="s">
        <v>29</v>
      </c>
      <c r="Q131" s="41" t="s">
        <v>342</v>
      </c>
    </row>
    <row r="132" spans="1:17" s="47" customFormat="1" ht="14.25" customHeight="1">
      <c r="A132" s="41">
        <v>62</v>
      </c>
      <c r="B132" s="41" t="s">
        <v>69</v>
      </c>
      <c r="C132" s="41" t="s">
        <v>79</v>
      </c>
      <c r="D132" s="41" t="s">
        <v>315</v>
      </c>
      <c r="E132" s="41" t="s">
        <v>29</v>
      </c>
      <c r="F132" s="41" t="s">
        <v>29</v>
      </c>
      <c r="G132" s="129"/>
      <c r="H132" s="148"/>
      <c r="I132" s="148"/>
      <c r="J132" s="150"/>
      <c r="K132" s="150"/>
      <c r="L132" s="41" t="s">
        <v>29</v>
      </c>
      <c r="M132" s="56" t="s">
        <v>26</v>
      </c>
      <c r="N132" s="41" t="s">
        <v>29</v>
      </c>
      <c r="O132" s="41" t="s">
        <v>29</v>
      </c>
      <c r="P132" s="41" t="s">
        <v>29</v>
      </c>
      <c r="Q132" s="41" t="s">
        <v>343</v>
      </c>
    </row>
    <row r="133" spans="1:17" s="47" customFormat="1" ht="14.25" customHeight="1">
      <c r="A133" s="41">
        <v>62</v>
      </c>
      <c r="B133" s="41" t="s">
        <v>69</v>
      </c>
      <c r="C133" s="41" t="s">
        <v>337</v>
      </c>
      <c r="D133" s="41" t="s">
        <v>315</v>
      </c>
      <c r="E133" s="41" t="s">
        <v>29</v>
      </c>
      <c r="F133" s="41" t="s">
        <v>29</v>
      </c>
      <c r="G133" s="129"/>
      <c r="H133" s="148"/>
      <c r="I133" s="148"/>
      <c r="J133" s="150"/>
      <c r="K133" s="150"/>
      <c r="L133" s="41" t="s">
        <v>29</v>
      </c>
      <c r="M133" s="56" t="s">
        <v>26</v>
      </c>
      <c r="N133" s="41" t="s">
        <v>29</v>
      </c>
      <c r="O133" s="41" t="s">
        <v>29</v>
      </c>
      <c r="P133" s="41" t="s">
        <v>29</v>
      </c>
      <c r="Q133" s="41" t="s">
        <v>344</v>
      </c>
    </row>
    <row r="134" spans="1:17" s="47" customFormat="1" ht="14.25" customHeight="1">
      <c r="A134" s="41">
        <v>62</v>
      </c>
      <c r="B134" s="41" t="s">
        <v>69</v>
      </c>
      <c r="C134" s="41" t="s">
        <v>337</v>
      </c>
      <c r="D134" s="41" t="s">
        <v>315</v>
      </c>
      <c r="E134" s="41" t="s">
        <v>29</v>
      </c>
      <c r="F134" s="41" t="s">
        <v>29</v>
      </c>
      <c r="G134" s="129"/>
      <c r="H134" s="148"/>
      <c r="I134" s="148"/>
      <c r="J134" s="150"/>
      <c r="K134" s="150"/>
      <c r="L134" s="41" t="s">
        <v>29</v>
      </c>
      <c r="M134" s="56" t="s">
        <v>26</v>
      </c>
      <c r="N134" s="41" t="s">
        <v>29</v>
      </c>
      <c r="O134" s="41" t="s">
        <v>29</v>
      </c>
      <c r="P134" s="41" t="s">
        <v>29</v>
      </c>
      <c r="Q134" s="41" t="s">
        <v>345</v>
      </c>
    </row>
    <row r="135" spans="1:17" s="47" customFormat="1" ht="14.25" customHeight="1">
      <c r="A135" s="41">
        <v>62</v>
      </c>
      <c r="B135" s="41" t="s">
        <v>69</v>
      </c>
      <c r="C135" s="41" t="s">
        <v>337</v>
      </c>
      <c r="D135" s="41" t="s">
        <v>315</v>
      </c>
      <c r="E135" s="41" t="s">
        <v>29</v>
      </c>
      <c r="F135" s="41" t="s">
        <v>29</v>
      </c>
      <c r="G135" s="129"/>
      <c r="H135" s="148"/>
      <c r="I135" s="148"/>
      <c r="J135" s="150"/>
      <c r="K135" s="150"/>
      <c r="L135" s="41" t="s">
        <v>29</v>
      </c>
      <c r="M135" s="56" t="s">
        <v>26</v>
      </c>
      <c r="N135" s="41" t="s">
        <v>29</v>
      </c>
      <c r="O135" s="41" t="s">
        <v>29</v>
      </c>
      <c r="P135" s="41" t="s">
        <v>29</v>
      </c>
      <c r="Q135" s="41" t="s">
        <v>346</v>
      </c>
    </row>
    <row r="136" spans="1:17" s="47" customFormat="1" ht="14.25" customHeight="1">
      <c r="A136" s="41">
        <v>62</v>
      </c>
      <c r="B136" s="41" t="s">
        <v>69</v>
      </c>
      <c r="C136" s="41" t="s">
        <v>337</v>
      </c>
      <c r="D136" s="41" t="s">
        <v>315</v>
      </c>
      <c r="E136" s="41" t="s">
        <v>29</v>
      </c>
      <c r="F136" s="41" t="s">
        <v>29</v>
      </c>
      <c r="G136" s="129"/>
      <c r="H136" s="148"/>
      <c r="I136" s="148"/>
      <c r="J136" s="150"/>
      <c r="K136" s="150"/>
      <c r="L136" s="41" t="s">
        <v>29</v>
      </c>
      <c r="M136" s="56" t="s">
        <v>26</v>
      </c>
      <c r="N136" s="41" t="s">
        <v>29</v>
      </c>
      <c r="O136" s="41" t="s">
        <v>29</v>
      </c>
      <c r="P136" s="41" t="s">
        <v>29</v>
      </c>
      <c r="Q136" s="41" t="s">
        <v>347</v>
      </c>
    </row>
    <row r="137" spans="1:17" s="47" customFormat="1" ht="14.25" customHeight="1">
      <c r="A137" s="41">
        <v>62</v>
      </c>
      <c r="B137" s="41" t="s">
        <v>69</v>
      </c>
      <c r="C137" s="41" t="s">
        <v>337</v>
      </c>
      <c r="D137" s="41" t="s">
        <v>315</v>
      </c>
      <c r="E137" s="41" t="s">
        <v>29</v>
      </c>
      <c r="F137" s="41" t="s">
        <v>29</v>
      </c>
      <c r="G137" s="129"/>
      <c r="H137" s="148"/>
      <c r="I137" s="148"/>
      <c r="J137" s="150"/>
      <c r="K137" s="150"/>
      <c r="L137" s="41" t="s">
        <v>29</v>
      </c>
      <c r="M137" s="56" t="s">
        <v>26</v>
      </c>
      <c r="N137" s="41" t="s">
        <v>29</v>
      </c>
      <c r="O137" s="41" t="s">
        <v>29</v>
      </c>
      <c r="P137" s="41" t="s">
        <v>29</v>
      </c>
      <c r="Q137" s="41" t="s">
        <v>348</v>
      </c>
    </row>
    <row r="138" spans="1:17" s="47" customFormat="1" ht="14.25" customHeight="1">
      <c r="A138" s="41">
        <v>62</v>
      </c>
      <c r="B138" s="41" t="s">
        <v>69</v>
      </c>
      <c r="C138" s="41" t="s">
        <v>337</v>
      </c>
      <c r="D138" s="41" t="s">
        <v>315</v>
      </c>
      <c r="E138" s="41" t="s">
        <v>29</v>
      </c>
      <c r="F138" s="41" t="s">
        <v>29</v>
      </c>
      <c r="G138" s="129"/>
      <c r="H138" s="148"/>
      <c r="I138" s="148"/>
      <c r="J138" s="150"/>
      <c r="K138" s="150"/>
      <c r="L138" s="41" t="s">
        <v>29</v>
      </c>
      <c r="M138" s="56" t="s">
        <v>26</v>
      </c>
      <c r="N138" s="41" t="s">
        <v>29</v>
      </c>
      <c r="O138" s="41" t="s">
        <v>29</v>
      </c>
      <c r="P138" s="41" t="s">
        <v>29</v>
      </c>
      <c r="Q138" s="41" t="s">
        <v>349</v>
      </c>
    </row>
    <row r="139" spans="1:17" s="75" customFormat="1" ht="66.599999999999994" customHeight="1">
      <c r="A139" s="70">
        <v>63</v>
      </c>
      <c r="B139" s="70" t="s">
        <v>69</v>
      </c>
      <c r="C139" s="71" t="s">
        <v>450</v>
      </c>
      <c r="D139" s="43" t="s">
        <v>315</v>
      </c>
      <c r="E139" s="71" t="s">
        <v>284</v>
      </c>
      <c r="F139" s="70" t="s">
        <v>29</v>
      </c>
      <c r="G139" s="70" t="s">
        <v>26</v>
      </c>
      <c r="H139" s="72">
        <f>6000*70</f>
        <v>420000</v>
      </c>
      <c r="I139" s="70" t="s">
        <v>26</v>
      </c>
      <c r="J139" s="73">
        <f>150/70</f>
        <v>2.1428571428571428</v>
      </c>
      <c r="K139" s="70">
        <f>350/70</f>
        <v>5</v>
      </c>
      <c r="L139" s="43" t="s">
        <v>29</v>
      </c>
      <c r="M139" s="56" t="s">
        <v>26</v>
      </c>
      <c r="N139" s="43" t="s">
        <v>29</v>
      </c>
      <c r="O139" s="43" t="s">
        <v>29</v>
      </c>
      <c r="P139" s="70" t="s">
        <v>452</v>
      </c>
      <c r="Q139" s="71" t="s">
        <v>453</v>
      </c>
    </row>
    <row r="140" spans="1:17" s="75" customFormat="1" ht="36.6" customHeight="1">
      <c r="A140" s="151">
        <v>63</v>
      </c>
      <c r="B140" s="151" t="s">
        <v>67</v>
      </c>
      <c r="C140" s="153" t="s">
        <v>451</v>
      </c>
      <c r="D140" s="120" t="s">
        <v>315</v>
      </c>
      <c r="E140" s="153" t="s">
        <v>284</v>
      </c>
      <c r="F140" s="151" t="s">
        <v>29</v>
      </c>
      <c r="G140" s="70" t="s">
        <v>536</v>
      </c>
      <c r="H140" s="72">
        <v>30</v>
      </c>
      <c r="I140" s="70" t="s">
        <v>26</v>
      </c>
      <c r="J140" s="151">
        <v>35</v>
      </c>
      <c r="K140" s="151">
        <v>90</v>
      </c>
      <c r="L140" s="120" t="s">
        <v>29</v>
      </c>
      <c r="M140" s="56" t="s">
        <v>26</v>
      </c>
      <c r="N140" s="120" t="s">
        <v>29</v>
      </c>
      <c r="O140" s="120" t="s">
        <v>29</v>
      </c>
      <c r="P140" s="151" t="s">
        <v>452</v>
      </c>
      <c r="Q140" s="151" t="s">
        <v>192</v>
      </c>
    </row>
    <row r="141" spans="1:17" s="74" customFormat="1" ht="39.6" customHeight="1">
      <c r="A141" s="152"/>
      <c r="B141" s="152"/>
      <c r="C141" s="154"/>
      <c r="D141" s="121"/>
      <c r="E141" s="154"/>
      <c r="F141" s="152"/>
      <c r="G141" s="70" t="s">
        <v>537</v>
      </c>
      <c r="H141" s="71">
        <v>250</v>
      </c>
      <c r="I141" s="70" t="s">
        <v>26</v>
      </c>
      <c r="J141" s="152"/>
      <c r="K141" s="152"/>
      <c r="L141" s="121"/>
      <c r="M141" s="56" t="s">
        <v>26</v>
      </c>
      <c r="N141" s="121"/>
      <c r="O141" s="121"/>
      <c r="P141" s="152"/>
      <c r="Q141" s="152"/>
    </row>
    <row r="142" spans="1:17" s="74" customFormat="1" ht="50.4" customHeight="1">
      <c r="A142" s="70">
        <v>64</v>
      </c>
      <c r="B142" s="70" t="s">
        <v>69</v>
      </c>
      <c r="C142" s="71" t="s">
        <v>486</v>
      </c>
      <c r="D142" s="41" t="s">
        <v>315</v>
      </c>
      <c r="E142" s="70" t="s">
        <v>29</v>
      </c>
      <c r="F142" s="70" t="s">
        <v>29</v>
      </c>
      <c r="G142" s="70" t="s">
        <v>26</v>
      </c>
      <c r="H142" s="72">
        <f>2020*70</f>
        <v>141400</v>
      </c>
      <c r="I142" s="70" t="s">
        <v>26</v>
      </c>
      <c r="J142" s="73">
        <f>90/70</f>
        <v>1.2857142857142858</v>
      </c>
      <c r="K142" s="73">
        <f>180/70</f>
        <v>2.5714285714285716</v>
      </c>
      <c r="L142" s="41" t="s">
        <v>29</v>
      </c>
      <c r="M142" s="56" t="s">
        <v>26</v>
      </c>
      <c r="N142" s="71" t="s">
        <v>488</v>
      </c>
      <c r="O142" s="71" t="s">
        <v>489</v>
      </c>
      <c r="P142" s="70" t="s">
        <v>452</v>
      </c>
      <c r="Q142" s="71" t="s">
        <v>490</v>
      </c>
    </row>
    <row r="143" spans="1:17" s="74" customFormat="1" ht="29.4" customHeight="1">
      <c r="A143" s="70">
        <v>64</v>
      </c>
      <c r="B143" s="70" t="s">
        <v>67</v>
      </c>
      <c r="C143" s="71" t="s">
        <v>485</v>
      </c>
      <c r="D143" s="41" t="s">
        <v>315</v>
      </c>
      <c r="E143" s="70" t="s">
        <v>29</v>
      </c>
      <c r="F143" s="70" t="s">
        <v>29</v>
      </c>
      <c r="G143" s="70" t="s">
        <v>26</v>
      </c>
      <c r="H143" s="72">
        <v>5300</v>
      </c>
      <c r="I143" s="70" t="s">
        <v>26</v>
      </c>
      <c r="J143" s="70">
        <v>35</v>
      </c>
      <c r="K143" s="70">
        <v>80</v>
      </c>
      <c r="L143" s="41" t="s">
        <v>29</v>
      </c>
      <c r="M143" s="56" t="s">
        <v>26</v>
      </c>
      <c r="N143" s="70" t="s">
        <v>29</v>
      </c>
      <c r="O143" s="70" t="s">
        <v>29</v>
      </c>
      <c r="P143" s="70" t="s">
        <v>452</v>
      </c>
      <c r="Q143" s="71" t="s">
        <v>491</v>
      </c>
    </row>
    <row r="144" spans="1:17" s="74" customFormat="1" ht="38.4" customHeight="1">
      <c r="A144" s="70">
        <v>64</v>
      </c>
      <c r="B144" s="70" t="s">
        <v>484</v>
      </c>
      <c r="C144" s="71" t="s">
        <v>487</v>
      </c>
      <c r="D144" s="41" t="s">
        <v>315</v>
      </c>
      <c r="E144" s="70" t="s">
        <v>29</v>
      </c>
      <c r="F144" s="70" t="s">
        <v>29</v>
      </c>
      <c r="G144" s="70" t="s">
        <v>26</v>
      </c>
      <c r="H144" s="72">
        <v>700</v>
      </c>
      <c r="I144" s="70" t="s">
        <v>26</v>
      </c>
      <c r="J144" s="70" t="s">
        <v>29</v>
      </c>
      <c r="K144" s="70" t="s">
        <v>29</v>
      </c>
      <c r="L144" s="41" t="s">
        <v>29</v>
      </c>
      <c r="M144" s="56" t="s">
        <v>26</v>
      </c>
      <c r="N144" s="70" t="s">
        <v>29</v>
      </c>
      <c r="O144" s="70" t="s">
        <v>29</v>
      </c>
      <c r="P144" s="70" t="s">
        <v>29</v>
      </c>
      <c r="Q144" s="71" t="s">
        <v>492</v>
      </c>
    </row>
    <row r="145" spans="1:17" s="74" customFormat="1" ht="106.8" customHeight="1">
      <c r="A145" s="70">
        <v>65</v>
      </c>
      <c r="B145" s="70" t="s">
        <v>69</v>
      </c>
      <c r="C145" s="71" t="s">
        <v>495</v>
      </c>
      <c r="D145" s="43" t="s">
        <v>315</v>
      </c>
      <c r="E145" s="70" t="s">
        <v>29</v>
      </c>
      <c r="F145" s="70" t="s">
        <v>29</v>
      </c>
      <c r="G145" s="70" t="s">
        <v>26</v>
      </c>
      <c r="H145" s="72">
        <f>4612*70</f>
        <v>322840</v>
      </c>
      <c r="I145" s="70" t="s">
        <v>26</v>
      </c>
      <c r="J145" s="73">
        <f>150/70</f>
        <v>2.1428571428571428</v>
      </c>
      <c r="K145" s="73">
        <f>320/70</f>
        <v>4.5714285714285712</v>
      </c>
      <c r="L145" s="43" t="s">
        <v>29</v>
      </c>
      <c r="M145" s="56" t="s">
        <v>26</v>
      </c>
      <c r="N145" s="70" t="s">
        <v>29</v>
      </c>
      <c r="O145" s="70" t="s">
        <v>29</v>
      </c>
      <c r="P145" s="70" t="s">
        <v>496</v>
      </c>
      <c r="Q145" s="71" t="s">
        <v>497</v>
      </c>
    </row>
    <row r="146" spans="1:17" s="74" customFormat="1" ht="55.2" customHeight="1">
      <c r="A146" s="151">
        <v>65</v>
      </c>
      <c r="B146" s="151" t="s">
        <v>67</v>
      </c>
      <c r="C146" s="153" t="s">
        <v>495</v>
      </c>
      <c r="D146" s="120" t="s">
        <v>315</v>
      </c>
      <c r="E146" s="151" t="s">
        <v>29</v>
      </c>
      <c r="F146" s="151" t="s">
        <v>29</v>
      </c>
      <c r="G146" s="151" t="s">
        <v>26</v>
      </c>
      <c r="H146" s="151">
        <v>3000</v>
      </c>
      <c r="I146" s="70" t="s">
        <v>499</v>
      </c>
      <c r="J146" s="73">
        <v>100</v>
      </c>
      <c r="K146" s="73">
        <v>160</v>
      </c>
      <c r="L146" s="120" t="s">
        <v>29</v>
      </c>
      <c r="M146" s="56" t="s">
        <v>26</v>
      </c>
      <c r="N146" s="151" t="s">
        <v>29</v>
      </c>
      <c r="O146" s="151" t="s">
        <v>29</v>
      </c>
      <c r="P146" s="151" t="s">
        <v>500</v>
      </c>
      <c r="Q146" s="151" t="s">
        <v>501</v>
      </c>
    </row>
    <row r="147" spans="1:17" s="74" customFormat="1" ht="50.4" customHeight="1">
      <c r="A147" s="152"/>
      <c r="B147" s="152"/>
      <c r="C147" s="154"/>
      <c r="D147" s="121"/>
      <c r="E147" s="152"/>
      <c r="F147" s="152"/>
      <c r="G147" s="152"/>
      <c r="H147" s="152"/>
      <c r="I147" s="70" t="s">
        <v>498</v>
      </c>
      <c r="J147" s="70">
        <v>40</v>
      </c>
      <c r="K147" s="70">
        <v>80</v>
      </c>
      <c r="L147" s="121"/>
      <c r="M147" s="56" t="s">
        <v>26</v>
      </c>
      <c r="N147" s="152"/>
      <c r="O147" s="152"/>
      <c r="P147" s="152"/>
      <c r="Q147" s="152"/>
    </row>
    <row r="148" spans="1:17" s="74" customFormat="1" ht="57.6" customHeight="1">
      <c r="A148" s="70">
        <v>66</v>
      </c>
      <c r="B148" s="70" t="s">
        <v>69</v>
      </c>
      <c r="C148" s="70" t="s">
        <v>449</v>
      </c>
      <c r="D148" s="43" t="s">
        <v>315</v>
      </c>
      <c r="E148" s="70" t="s">
        <v>29</v>
      </c>
      <c r="F148" s="70" t="s">
        <v>29</v>
      </c>
      <c r="G148" s="70" t="s">
        <v>26</v>
      </c>
      <c r="H148" s="96">
        <f>900*70</f>
        <v>63000</v>
      </c>
      <c r="I148" s="56" t="s">
        <v>26</v>
      </c>
      <c r="J148" s="57">
        <f>125/70</f>
        <v>1.7857142857142858</v>
      </c>
      <c r="K148" s="57">
        <f>250/70</f>
        <v>3.5714285714285716</v>
      </c>
      <c r="L148" s="43" t="s">
        <v>29</v>
      </c>
      <c r="M148" s="56" t="s">
        <v>26</v>
      </c>
      <c r="N148" s="70" t="s">
        <v>29</v>
      </c>
      <c r="O148" s="70" t="s">
        <v>29</v>
      </c>
      <c r="P148" s="71" t="s">
        <v>512</v>
      </c>
      <c r="Q148" s="71" t="s">
        <v>513</v>
      </c>
    </row>
    <row r="149" spans="1:17" s="74" customFormat="1" ht="14.25" customHeight="1">
      <c r="A149" s="70">
        <v>66</v>
      </c>
      <c r="B149" s="70" t="s">
        <v>67</v>
      </c>
      <c r="C149" s="70" t="s">
        <v>449</v>
      </c>
      <c r="D149" s="70" t="s">
        <v>552</v>
      </c>
      <c r="E149" s="70" t="s">
        <v>29</v>
      </c>
      <c r="F149" s="70">
        <v>1500</v>
      </c>
      <c r="G149" s="70" t="s">
        <v>26</v>
      </c>
      <c r="H149" s="72">
        <v>8000</v>
      </c>
      <c r="I149" s="70" t="s">
        <v>26</v>
      </c>
      <c r="J149" s="70">
        <v>30</v>
      </c>
      <c r="K149" s="70">
        <v>75</v>
      </c>
      <c r="L149" s="43" t="s">
        <v>29</v>
      </c>
      <c r="M149" s="70" t="s">
        <v>26</v>
      </c>
      <c r="N149" s="70" t="s">
        <v>29</v>
      </c>
      <c r="O149" s="70" t="s">
        <v>29</v>
      </c>
      <c r="P149" s="70" t="s">
        <v>29</v>
      </c>
      <c r="Q149" s="70" t="s">
        <v>514</v>
      </c>
    </row>
    <row r="150" spans="1:17" s="28" customFormat="1" ht="14.25" customHeight="1">
      <c r="A150" s="97">
        <v>67</v>
      </c>
      <c r="B150" s="97" t="s">
        <v>69</v>
      </c>
      <c r="C150" s="97" t="s">
        <v>562</v>
      </c>
      <c r="D150" s="97" t="s">
        <v>315</v>
      </c>
      <c r="E150" s="97" t="s">
        <v>170</v>
      </c>
      <c r="F150" s="97" t="s">
        <v>29</v>
      </c>
      <c r="G150" s="70" t="s">
        <v>26</v>
      </c>
      <c r="H150" s="97">
        <f>4000*60</f>
        <v>240000</v>
      </c>
      <c r="I150" s="97" t="s">
        <v>26</v>
      </c>
      <c r="J150" s="100">
        <f>250/60</f>
        <v>4.166666666666667</v>
      </c>
      <c r="K150" s="97">
        <f>750/60</f>
        <v>12.5</v>
      </c>
      <c r="L150" s="97" t="s">
        <v>29</v>
      </c>
      <c r="M150" s="70" t="s">
        <v>26</v>
      </c>
      <c r="N150" s="97" t="s">
        <v>29</v>
      </c>
      <c r="O150" s="97" t="s">
        <v>29</v>
      </c>
      <c r="P150" s="97"/>
      <c r="Q150" s="97" t="s">
        <v>563</v>
      </c>
    </row>
    <row r="151" spans="1:17" s="46" customFormat="1" ht="14.25" customHeight="1">
      <c r="A151" s="43">
        <v>68</v>
      </c>
      <c r="B151" s="43" t="s">
        <v>69</v>
      </c>
      <c r="C151" s="43" t="s">
        <v>582</v>
      </c>
      <c r="D151" s="43" t="s">
        <v>29</v>
      </c>
      <c r="E151" s="43" t="s">
        <v>29</v>
      </c>
      <c r="F151" s="43" t="s">
        <v>29</v>
      </c>
      <c r="G151" s="70" t="s">
        <v>26</v>
      </c>
      <c r="H151" s="120">
        <f>6000*60</f>
        <v>360000</v>
      </c>
      <c r="I151" s="97" t="s">
        <v>26</v>
      </c>
      <c r="J151" s="145">
        <f>250/60</f>
        <v>4.166666666666667</v>
      </c>
      <c r="K151" s="145">
        <f>1300/60</f>
        <v>21.666666666666668</v>
      </c>
      <c r="L151" s="97" t="s">
        <v>29</v>
      </c>
      <c r="M151" s="70" t="s">
        <v>26</v>
      </c>
      <c r="N151" s="97" t="s">
        <v>29</v>
      </c>
      <c r="O151" s="97" t="s">
        <v>29</v>
      </c>
      <c r="P151" s="120" t="s">
        <v>586</v>
      </c>
      <c r="Q151" s="43" t="s">
        <v>587</v>
      </c>
    </row>
    <row r="152" spans="1:17" s="46" customFormat="1" ht="28.2" customHeight="1">
      <c r="A152" s="43">
        <v>68</v>
      </c>
      <c r="B152" s="43" t="s">
        <v>69</v>
      </c>
      <c r="C152" s="43" t="s">
        <v>583</v>
      </c>
      <c r="D152" s="43" t="s">
        <v>29</v>
      </c>
      <c r="E152" s="43" t="s">
        <v>29</v>
      </c>
      <c r="F152" s="43" t="s">
        <v>29</v>
      </c>
      <c r="G152" s="70" t="s">
        <v>26</v>
      </c>
      <c r="H152" s="129"/>
      <c r="I152" s="97" t="s">
        <v>26</v>
      </c>
      <c r="J152" s="146"/>
      <c r="K152" s="146"/>
      <c r="L152" s="97" t="s">
        <v>29</v>
      </c>
      <c r="M152" s="70" t="s">
        <v>26</v>
      </c>
      <c r="N152" s="97" t="s">
        <v>29</v>
      </c>
      <c r="O152" s="97" t="s">
        <v>29</v>
      </c>
      <c r="P152" s="129"/>
      <c r="Q152" s="42" t="s">
        <v>588</v>
      </c>
    </row>
    <row r="153" spans="1:17" s="46" customFormat="1" ht="29.4" customHeight="1">
      <c r="A153" s="43">
        <v>68</v>
      </c>
      <c r="B153" s="43" t="s">
        <v>69</v>
      </c>
      <c r="C153" s="43" t="s">
        <v>584</v>
      </c>
      <c r="D153" s="43" t="s">
        <v>29</v>
      </c>
      <c r="E153" s="43" t="s">
        <v>29</v>
      </c>
      <c r="F153" s="43" t="s">
        <v>29</v>
      </c>
      <c r="G153" s="70" t="s">
        <v>26</v>
      </c>
      <c r="H153" s="129"/>
      <c r="I153" s="97" t="s">
        <v>26</v>
      </c>
      <c r="J153" s="146"/>
      <c r="K153" s="146"/>
      <c r="L153" s="97" t="s">
        <v>29</v>
      </c>
      <c r="M153" s="70" t="s">
        <v>26</v>
      </c>
      <c r="N153" s="97" t="s">
        <v>29</v>
      </c>
      <c r="O153" s="97" t="s">
        <v>29</v>
      </c>
      <c r="P153" s="129"/>
      <c r="Q153" s="42" t="s">
        <v>589</v>
      </c>
    </row>
    <row r="154" spans="1:17" s="46" customFormat="1" ht="27" customHeight="1">
      <c r="A154" s="43">
        <v>68</v>
      </c>
      <c r="B154" s="43" t="s">
        <v>69</v>
      </c>
      <c r="C154" s="43" t="s">
        <v>585</v>
      </c>
      <c r="D154" s="43" t="s">
        <v>29</v>
      </c>
      <c r="E154" s="43" t="s">
        <v>29</v>
      </c>
      <c r="F154" s="43" t="s">
        <v>29</v>
      </c>
      <c r="G154" s="70" t="s">
        <v>26</v>
      </c>
      <c r="H154" s="121"/>
      <c r="I154" s="97" t="s">
        <v>26</v>
      </c>
      <c r="J154" s="147"/>
      <c r="K154" s="147"/>
      <c r="L154" s="97" t="s">
        <v>29</v>
      </c>
      <c r="M154" s="70" t="s">
        <v>26</v>
      </c>
      <c r="N154" s="97" t="s">
        <v>29</v>
      </c>
      <c r="O154" s="97" t="s">
        <v>29</v>
      </c>
      <c r="P154" s="121"/>
      <c r="Q154" s="42" t="s">
        <v>590</v>
      </c>
    </row>
    <row r="155" spans="1:17" s="46" customFormat="1" ht="136.80000000000001" customHeight="1">
      <c r="A155" s="43">
        <v>69</v>
      </c>
      <c r="B155" s="43" t="s">
        <v>69</v>
      </c>
      <c r="C155" s="42" t="s">
        <v>603</v>
      </c>
      <c r="D155" s="43" t="s">
        <v>315</v>
      </c>
      <c r="E155" s="43" t="s">
        <v>604</v>
      </c>
      <c r="F155" s="43" t="s">
        <v>29</v>
      </c>
      <c r="G155" s="43" t="s">
        <v>29</v>
      </c>
      <c r="H155" s="43">
        <v>720000</v>
      </c>
      <c r="I155" s="43" t="s">
        <v>26</v>
      </c>
      <c r="J155" s="51">
        <f>230/60</f>
        <v>3.8333333333333335</v>
      </c>
      <c r="K155" s="51">
        <f>380/60</f>
        <v>6.333333333333333</v>
      </c>
      <c r="L155" s="43" t="s">
        <v>29</v>
      </c>
      <c r="M155" s="43" t="s">
        <v>29</v>
      </c>
      <c r="N155" s="43" t="s">
        <v>29</v>
      </c>
      <c r="O155" s="43" t="s">
        <v>29</v>
      </c>
      <c r="P155" s="43" t="s">
        <v>605</v>
      </c>
      <c r="Q155" s="42" t="s">
        <v>606</v>
      </c>
    </row>
    <row r="156" spans="1:17" s="46" customFormat="1" ht="136.80000000000001" customHeight="1">
      <c r="A156" s="43">
        <v>69</v>
      </c>
      <c r="B156" s="43" t="s">
        <v>91</v>
      </c>
      <c r="C156" s="42" t="s">
        <v>607</v>
      </c>
      <c r="D156" s="43" t="s">
        <v>315</v>
      </c>
      <c r="E156" s="43" t="s">
        <v>604</v>
      </c>
      <c r="F156" s="43" t="s">
        <v>29</v>
      </c>
      <c r="G156" s="43" t="s">
        <v>29</v>
      </c>
      <c r="H156" s="43" t="s">
        <v>29</v>
      </c>
      <c r="I156" s="43" t="s">
        <v>29</v>
      </c>
      <c r="J156" s="43" t="s">
        <v>29</v>
      </c>
      <c r="K156" s="43" t="s">
        <v>29</v>
      </c>
      <c r="L156" s="43">
        <f>48*1000</f>
        <v>48000</v>
      </c>
      <c r="M156" s="43" t="s">
        <v>26</v>
      </c>
      <c r="N156" s="43">
        <f>AVERAGE(30,90)</f>
        <v>60</v>
      </c>
      <c r="O156" s="43">
        <f>AVERAGE(80,135)</f>
        <v>107.5</v>
      </c>
      <c r="P156" s="43" t="s">
        <v>605</v>
      </c>
      <c r="Q156" s="43" t="s">
        <v>29</v>
      </c>
    </row>
    <row r="157" spans="1:17" s="46" customFormat="1" ht="61.2" customHeight="1">
      <c r="A157" s="43">
        <v>69</v>
      </c>
      <c r="B157" s="43" t="s">
        <v>71</v>
      </c>
      <c r="C157" s="42" t="s">
        <v>608</v>
      </c>
      <c r="D157" s="43" t="s">
        <v>29</v>
      </c>
      <c r="E157" s="43" t="s">
        <v>29</v>
      </c>
      <c r="F157" s="43" t="s">
        <v>29</v>
      </c>
      <c r="G157" s="43" t="s">
        <v>29</v>
      </c>
      <c r="H157" s="43">
        <f>20*1000</f>
        <v>20000</v>
      </c>
      <c r="I157" s="43" t="s">
        <v>26</v>
      </c>
      <c r="J157" s="43">
        <v>12</v>
      </c>
      <c r="K157" s="43">
        <v>42</v>
      </c>
      <c r="L157" s="43" t="s">
        <v>29</v>
      </c>
      <c r="M157" s="43" t="s">
        <v>29</v>
      </c>
      <c r="N157" s="43" t="s">
        <v>29</v>
      </c>
      <c r="O157" s="43" t="s">
        <v>29</v>
      </c>
      <c r="P157" s="43" t="s">
        <v>610</v>
      </c>
      <c r="Q157" s="42" t="s">
        <v>609</v>
      </c>
    </row>
    <row r="158" spans="1:17" ht="14.25" customHeight="1">
      <c r="A158" s="1">
        <v>70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4.25" customHeight="1">
      <c r="A159" s="1">
        <v>71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4.25" customHeight="1">
      <c r="A160" s="1">
        <v>72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s="46" customFormat="1" ht="18" customHeight="1">
      <c r="A161" s="43">
        <v>73</v>
      </c>
      <c r="B161" s="43" t="s">
        <v>141</v>
      </c>
      <c r="C161" s="43" t="s">
        <v>29</v>
      </c>
      <c r="D161" s="43" t="s">
        <v>29</v>
      </c>
      <c r="E161" s="43" t="s">
        <v>29</v>
      </c>
      <c r="F161" s="43" t="s">
        <v>29</v>
      </c>
      <c r="G161" s="43" t="s">
        <v>26</v>
      </c>
      <c r="H161" s="43">
        <v>12</v>
      </c>
      <c r="I161" s="43" t="s">
        <v>26</v>
      </c>
      <c r="J161" s="51">
        <f>80/60</f>
        <v>1.3333333333333333</v>
      </c>
      <c r="K161" s="51">
        <f>140/60</f>
        <v>2.3333333333333335</v>
      </c>
      <c r="L161" s="43" t="s">
        <v>29</v>
      </c>
      <c r="M161" s="43" t="s">
        <v>29</v>
      </c>
      <c r="N161" s="43" t="s">
        <v>29</v>
      </c>
      <c r="O161" s="43" t="s">
        <v>29</v>
      </c>
      <c r="P161" s="43" t="s">
        <v>628</v>
      </c>
      <c r="Q161" s="43" t="s">
        <v>629</v>
      </c>
    </row>
    <row r="162" spans="1:17" s="46" customFormat="1" ht="13.8" customHeight="1">
      <c r="A162" s="43">
        <v>73</v>
      </c>
      <c r="B162" s="43" t="s">
        <v>67</v>
      </c>
      <c r="C162" s="43" t="s">
        <v>626</v>
      </c>
      <c r="D162" s="43" t="s">
        <v>29</v>
      </c>
      <c r="E162" s="43" t="s">
        <v>29</v>
      </c>
      <c r="F162" s="43" t="s">
        <v>29</v>
      </c>
      <c r="G162" s="43" t="s">
        <v>26</v>
      </c>
      <c r="H162" s="43">
        <v>200</v>
      </c>
      <c r="I162" s="43" t="s">
        <v>26</v>
      </c>
      <c r="J162" s="43">
        <v>140</v>
      </c>
      <c r="K162" s="43">
        <v>180</v>
      </c>
      <c r="L162" s="43" t="s">
        <v>29</v>
      </c>
      <c r="M162" s="43" t="s">
        <v>29</v>
      </c>
      <c r="N162" s="43" t="s">
        <v>29</v>
      </c>
      <c r="O162" s="43" t="s">
        <v>29</v>
      </c>
      <c r="P162" s="43" t="s">
        <v>628</v>
      </c>
      <c r="Q162" s="43" t="s">
        <v>629</v>
      </c>
    </row>
    <row r="163" spans="1:17" s="46" customFormat="1" ht="14.25" customHeight="1">
      <c r="A163" s="43">
        <v>73</v>
      </c>
      <c r="B163" s="43" t="s">
        <v>625</v>
      </c>
      <c r="C163" s="43" t="s">
        <v>627</v>
      </c>
      <c r="D163" s="43" t="s">
        <v>29</v>
      </c>
      <c r="E163" s="43" t="s">
        <v>29</v>
      </c>
      <c r="F163" s="43" t="s">
        <v>29</v>
      </c>
      <c r="G163" s="43" t="s">
        <v>143</v>
      </c>
      <c r="H163" s="43">
        <v>18</v>
      </c>
      <c r="I163" s="43" t="s">
        <v>143</v>
      </c>
      <c r="J163" s="43">
        <v>60</v>
      </c>
      <c r="K163" s="43">
        <v>80</v>
      </c>
      <c r="L163" s="43" t="s">
        <v>29</v>
      </c>
      <c r="M163" s="43" t="s">
        <v>29</v>
      </c>
      <c r="N163" s="43" t="s">
        <v>29</v>
      </c>
      <c r="O163" s="43" t="s">
        <v>29</v>
      </c>
      <c r="P163" s="43" t="s">
        <v>628</v>
      </c>
      <c r="Q163" s="43" t="s">
        <v>629</v>
      </c>
    </row>
    <row r="164" spans="1:17" s="46" customFormat="1" ht="14.25" customHeight="1">
      <c r="A164" s="43">
        <v>73</v>
      </c>
      <c r="B164" s="43" t="s">
        <v>144</v>
      </c>
      <c r="C164" s="43" t="s">
        <v>29</v>
      </c>
      <c r="D164" s="43" t="s">
        <v>29</v>
      </c>
      <c r="E164" s="43" t="s">
        <v>29</v>
      </c>
      <c r="F164" s="43" t="s">
        <v>29</v>
      </c>
      <c r="G164" s="43" t="s">
        <v>143</v>
      </c>
      <c r="H164" s="43">
        <v>8</v>
      </c>
      <c r="I164" s="43" t="s">
        <v>143</v>
      </c>
      <c r="J164" s="43">
        <v>120</v>
      </c>
      <c r="K164" s="43">
        <v>120</v>
      </c>
      <c r="L164" s="43" t="s">
        <v>29</v>
      </c>
      <c r="M164" s="43" t="s">
        <v>29</v>
      </c>
      <c r="N164" s="43" t="s">
        <v>29</v>
      </c>
      <c r="O164" s="43" t="s">
        <v>29</v>
      </c>
      <c r="P164" s="43" t="s">
        <v>628</v>
      </c>
      <c r="Q164" s="43" t="s">
        <v>629</v>
      </c>
    </row>
    <row r="165" spans="1:17" s="46" customFormat="1" ht="14.25" customHeight="1">
      <c r="A165" s="43">
        <v>74</v>
      </c>
      <c r="B165" s="43" t="s">
        <v>69</v>
      </c>
      <c r="C165" s="43" t="s">
        <v>125</v>
      </c>
      <c r="D165" s="43" t="s">
        <v>28</v>
      </c>
      <c r="E165" s="43" t="s">
        <v>122</v>
      </c>
      <c r="F165" s="43" t="s">
        <v>29</v>
      </c>
      <c r="G165" s="43" t="s">
        <v>29</v>
      </c>
      <c r="H165" s="43">
        <f>100+120/2</f>
        <v>160</v>
      </c>
      <c r="I165" s="43" t="s">
        <v>26</v>
      </c>
      <c r="J165" s="43">
        <f>150/60</f>
        <v>2.5</v>
      </c>
      <c r="K165" s="43">
        <f>300/60</f>
        <v>5</v>
      </c>
      <c r="L165" s="43" t="s">
        <v>29</v>
      </c>
      <c r="M165" s="43" t="s">
        <v>29</v>
      </c>
      <c r="N165" s="43" t="s">
        <v>29</v>
      </c>
      <c r="O165" s="43" t="s">
        <v>29</v>
      </c>
      <c r="P165" s="43" t="s">
        <v>249</v>
      </c>
      <c r="Q165" s="43" t="s">
        <v>643</v>
      </c>
    </row>
    <row r="166" spans="1:17" s="46" customFormat="1" ht="37.200000000000003" customHeight="1">
      <c r="A166" s="43">
        <v>74</v>
      </c>
      <c r="B166" s="43" t="s">
        <v>69</v>
      </c>
      <c r="C166" s="42" t="s">
        <v>641</v>
      </c>
      <c r="D166" s="43" t="s">
        <v>28</v>
      </c>
      <c r="E166" s="43" t="s">
        <v>122</v>
      </c>
      <c r="F166" s="43" t="s">
        <v>29</v>
      </c>
      <c r="G166" s="43" t="s">
        <v>29</v>
      </c>
      <c r="H166" s="43">
        <f>130+150/2</f>
        <v>205</v>
      </c>
      <c r="I166" s="43" t="s">
        <v>26</v>
      </c>
      <c r="J166" s="43">
        <f>150/60</f>
        <v>2.5</v>
      </c>
      <c r="K166" s="43">
        <f>300/60</f>
        <v>5</v>
      </c>
      <c r="L166" s="43" t="s">
        <v>29</v>
      </c>
      <c r="M166" s="43" t="s">
        <v>29</v>
      </c>
      <c r="N166" s="43" t="s">
        <v>29</v>
      </c>
      <c r="O166" s="43" t="s">
        <v>29</v>
      </c>
      <c r="P166" s="43" t="s">
        <v>642</v>
      </c>
      <c r="Q166" s="43" t="s">
        <v>644</v>
      </c>
    </row>
    <row r="167" spans="1:1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ht="14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</sheetData>
  <mergeCells count="35">
    <mergeCell ref="F140:F141"/>
    <mergeCell ref="A140:A141"/>
    <mergeCell ref="B140:B141"/>
    <mergeCell ref="C140:C141"/>
    <mergeCell ref="D140:D141"/>
    <mergeCell ref="E140:E141"/>
    <mergeCell ref="F146:F147"/>
    <mergeCell ref="G146:G147"/>
    <mergeCell ref="H146:H147"/>
    <mergeCell ref="L146:L147"/>
    <mergeCell ref="A146:A147"/>
    <mergeCell ref="B146:B147"/>
    <mergeCell ref="C146:C147"/>
    <mergeCell ref="E146:E147"/>
    <mergeCell ref="D146:D147"/>
    <mergeCell ref="G128:G138"/>
    <mergeCell ref="N146:N147"/>
    <mergeCell ref="O146:O147"/>
    <mergeCell ref="P146:P147"/>
    <mergeCell ref="Q146:Q147"/>
    <mergeCell ref="P140:P141"/>
    <mergeCell ref="Q140:Q141"/>
    <mergeCell ref="J140:J141"/>
    <mergeCell ref="K140:K141"/>
    <mergeCell ref="L140:L141"/>
    <mergeCell ref="N140:N141"/>
    <mergeCell ref="O140:O141"/>
    <mergeCell ref="H151:H154"/>
    <mergeCell ref="J151:J154"/>
    <mergeCell ref="K151:K154"/>
    <mergeCell ref="P151:P154"/>
    <mergeCell ref="H128:H138"/>
    <mergeCell ref="I128:I138"/>
    <mergeCell ref="J128:J138"/>
    <mergeCell ref="K128:K138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workbookViewId="0">
      <pane xSplit="1" ySplit="1" topLeftCell="B57" activePane="bottomRight" state="frozen"/>
      <selection pane="topRight" activeCell="B1" sqref="B1"/>
      <selection pane="bottomLeft" activeCell="A2" sqref="A2"/>
      <selection pane="bottomRight" activeCell="T68" sqref="T68"/>
    </sheetView>
  </sheetViews>
  <sheetFormatPr defaultColWidth="12.6640625" defaultRowHeight="15" customHeight="1"/>
  <cols>
    <col min="1" max="1" width="13.21875" customWidth="1"/>
    <col min="2" max="2" width="13.44140625" customWidth="1"/>
    <col min="3" max="3" width="33.44140625" customWidth="1"/>
    <col min="4" max="4" width="16.88671875" customWidth="1"/>
    <col min="5" max="6" width="16.21875" customWidth="1"/>
    <col min="7" max="7" width="19.44140625" customWidth="1"/>
    <col min="8" max="9" width="21.109375" customWidth="1"/>
    <col min="10" max="10" width="25" customWidth="1"/>
    <col min="11" max="13" width="18.77734375" customWidth="1"/>
    <col min="14" max="16" width="16.21875" customWidth="1"/>
    <col min="17" max="17" width="24.33203125" customWidth="1"/>
    <col min="18" max="18" width="21.44140625" customWidth="1"/>
    <col min="19" max="19" width="20.21875" customWidth="1"/>
    <col min="20" max="20" width="25.5546875" customWidth="1"/>
    <col min="21" max="26" width="8.6640625" customWidth="1"/>
  </cols>
  <sheetData>
    <row r="1" spans="1:26" ht="49.5" customHeight="1">
      <c r="A1" s="2" t="s">
        <v>99</v>
      </c>
      <c r="B1" s="2" t="s">
        <v>100</v>
      </c>
      <c r="C1" s="29" t="s">
        <v>454</v>
      </c>
      <c r="D1" s="2" t="s">
        <v>353</v>
      </c>
      <c r="E1" s="2" t="s">
        <v>354</v>
      </c>
      <c r="F1" s="2" t="s">
        <v>105</v>
      </c>
      <c r="G1" s="2" t="s">
        <v>107</v>
      </c>
      <c r="H1" s="2" t="s">
        <v>108</v>
      </c>
      <c r="I1" s="2" t="s">
        <v>355</v>
      </c>
      <c r="J1" s="2" t="s">
        <v>17</v>
      </c>
      <c r="K1" s="2" t="s">
        <v>356</v>
      </c>
      <c r="L1" s="2" t="s">
        <v>105</v>
      </c>
      <c r="M1" s="2" t="s">
        <v>110</v>
      </c>
      <c r="N1" s="2" t="s">
        <v>111</v>
      </c>
      <c r="O1" s="2" t="s">
        <v>357</v>
      </c>
      <c r="P1" s="2" t="s">
        <v>105</v>
      </c>
      <c r="Q1" s="2" t="s">
        <v>112</v>
      </c>
      <c r="R1" s="2" t="s">
        <v>358</v>
      </c>
      <c r="S1" s="2" t="s">
        <v>359</v>
      </c>
      <c r="T1" s="2" t="s">
        <v>360</v>
      </c>
      <c r="V1" s="20" t="s">
        <v>114</v>
      </c>
      <c r="W1" s="20" t="s">
        <v>115</v>
      </c>
    </row>
    <row r="2" spans="1:26" s="47" customFormat="1" ht="14.25" customHeight="1">
      <c r="A2" s="43">
        <v>51</v>
      </c>
      <c r="B2" s="41" t="s">
        <v>69</v>
      </c>
      <c r="C2" s="43" t="s">
        <v>361</v>
      </c>
      <c r="D2" s="43" t="s">
        <v>25</v>
      </c>
      <c r="E2" s="43">
        <f>200*60</f>
        <v>12000</v>
      </c>
      <c r="F2" s="43" t="s">
        <v>26</v>
      </c>
      <c r="G2" s="51">
        <f>850/60</f>
        <v>14.166666666666666</v>
      </c>
      <c r="H2" s="51">
        <f>850/60</f>
        <v>14.166666666666666</v>
      </c>
      <c r="I2" s="43" t="s">
        <v>29</v>
      </c>
      <c r="J2" s="43" t="s">
        <v>26</v>
      </c>
      <c r="K2" s="43" t="s">
        <v>29</v>
      </c>
      <c r="L2" s="43" t="s">
        <v>29</v>
      </c>
      <c r="M2" s="43" t="s">
        <v>29</v>
      </c>
      <c r="N2" s="43" t="s">
        <v>29</v>
      </c>
      <c r="O2" s="43" t="s">
        <v>29</v>
      </c>
      <c r="P2" s="43" t="s">
        <v>29</v>
      </c>
      <c r="Q2" s="43" t="s">
        <v>362</v>
      </c>
      <c r="R2" s="43" t="s">
        <v>363</v>
      </c>
      <c r="S2" s="43" t="s">
        <v>517</v>
      </c>
      <c r="T2" s="43" t="s">
        <v>175</v>
      </c>
      <c r="U2" s="46"/>
      <c r="V2" s="46"/>
      <c r="W2" s="46"/>
      <c r="X2" s="46"/>
      <c r="Y2" s="46"/>
      <c r="Z2" s="46"/>
    </row>
    <row r="3" spans="1:26" s="47" customFormat="1" ht="14.25" customHeight="1">
      <c r="A3" s="43">
        <v>51</v>
      </c>
      <c r="B3" s="41" t="s">
        <v>69</v>
      </c>
      <c r="C3" s="43" t="s">
        <v>364</v>
      </c>
      <c r="D3" s="43" t="s">
        <v>25</v>
      </c>
      <c r="E3" s="43">
        <f>50*60</f>
        <v>3000</v>
      </c>
      <c r="F3" s="43" t="s">
        <v>26</v>
      </c>
      <c r="G3" s="51">
        <f>850/60</f>
        <v>14.166666666666666</v>
      </c>
      <c r="H3" s="51">
        <f>850/60</f>
        <v>14.166666666666666</v>
      </c>
      <c r="I3" s="43" t="s">
        <v>29</v>
      </c>
      <c r="J3" s="43" t="s">
        <v>26</v>
      </c>
      <c r="K3" s="43"/>
      <c r="L3" s="43"/>
      <c r="M3" s="43"/>
      <c r="N3" s="43"/>
      <c r="O3" s="43"/>
      <c r="P3" s="43"/>
      <c r="Q3" s="43" t="s">
        <v>46</v>
      </c>
      <c r="R3" s="43" t="s">
        <v>46</v>
      </c>
      <c r="S3" s="43" t="s">
        <v>29</v>
      </c>
      <c r="T3" s="43" t="s">
        <v>149</v>
      </c>
      <c r="U3" s="46"/>
      <c r="V3" s="46"/>
      <c r="W3" s="46"/>
      <c r="X3" s="46"/>
      <c r="Y3" s="46"/>
      <c r="Z3" s="46"/>
    </row>
    <row r="4" spans="1:26" s="47" customFormat="1" ht="14.25" customHeight="1">
      <c r="A4" s="43">
        <v>51</v>
      </c>
      <c r="B4" s="41" t="s">
        <v>67</v>
      </c>
      <c r="C4" s="43" t="s">
        <v>361</v>
      </c>
      <c r="D4" s="43" t="s">
        <v>25</v>
      </c>
      <c r="E4" s="43">
        <v>30</v>
      </c>
      <c r="F4" s="43" t="s">
        <v>26</v>
      </c>
      <c r="G4" s="43">
        <v>150</v>
      </c>
      <c r="H4" s="43">
        <v>150</v>
      </c>
      <c r="I4" s="43" t="s">
        <v>29</v>
      </c>
      <c r="J4" s="43" t="s">
        <v>26</v>
      </c>
      <c r="K4" s="43"/>
      <c r="L4" s="43"/>
      <c r="M4" s="43"/>
      <c r="N4" s="43"/>
      <c r="O4" s="43"/>
      <c r="P4" s="43"/>
      <c r="Q4" s="43" t="s">
        <v>365</v>
      </c>
      <c r="R4" s="43" t="s">
        <v>363</v>
      </c>
      <c r="S4" s="43" t="s">
        <v>518</v>
      </c>
      <c r="T4" s="43" t="s">
        <v>29</v>
      </c>
      <c r="U4" s="46"/>
      <c r="V4" s="46"/>
      <c r="W4" s="46"/>
      <c r="X4" s="46"/>
      <c r="Y4" s="46"/>
      <c r="Z4" s="46"/>
    </row>
    <row r="5" spans="1:26" s="47" customFormat="1" ht="14.25" customHeight="1">
      <c r="A5" s="43">
        <v>52</v>
      </c>
      <c r="B5" s="43" t="s">
        <v>69</v>
      </c>
      <c r="C5" s="43" t="s">
        <v>366</v>
      </c>
      <c r="D5" s="43" t="s">
        <v>35</v>
      </c>
      <c r="E5" s="43">
        <f>1200*70</f>
        <v>84000</v>
      </c>
      <c r="F5" s="43" t="s">
        <v>26</v>
      </c>
      <c r="G5" s="43">
        <f>350/70</f>
        <v>5</v>
      </c>
      <c r="H5" s="51">
        <f>470/70</f>
        <v>6.7142857142857144</v>
      </c>
      <c r="I5" s="43" t="s">
        <v>29</v>
      </c>
      <c r="J5" s="43" t="s">
        <v>26</v>
      </c>
      <c r="K5" s="43" t="s">
        <v>29</v>
      </c>
      <c r="L5" s="43" t="s">
        <v>29</v>
      </c>
      <c r="M5" s="43" t="s">
        <v>29</v>
      </c>
      <c r="N5" s="43" t="s">
        <v>29</v>
      </c>
      <c r="O5" s="43" t="s">
        <v>29</v>
      </c>
      <c r="P5" s="43" t="s">
        <v>29</v>
      </c>
      <c r="Q5" s="43" t="s">
        <v>527</v>
      </c>
      <c r="R5" s="43" t="s">
        <v>528</v>
      </c>
      <c r="S5" s="41">
        <v>3000</v>
      </c>
      <c r="T5" s="43" t="s">
        <v>149</v>
      </c>
      <c r="U5" s="46"/>
      <c r="V5" s="46">
        <f>AVERAGE(G5:H5)/60</f>
        <v>9.7619047619047633E-2</v>
      </c>
      <c r="W5" s="46">
        <f>V5*E5</f>
        <v>8200.0000000000018</v>
      </c>
      <c r="X5" s="46"/>
      <c r="Y5" s="46"/>
      <c r="Z5" s="46"/>
    </row>
    <row r="6" spans="1:26" s="47" customFormat="1" ht="14.25" customHeight="1">
      <c r="A6" s="43">
        <v>52</v>
      </c>
      <c r="B6" s="43" t="s">
        <v>124</v>
      </c>
      <c r="C6" s="41" t="s">
        <v>368</v>
      </c>
      <c r="D6" s="41" t="s">
        <v>29</v>
      </c>
      <c r="E6" s="41" t="s">
        <v>29</v>
      </c>
      <c r="F6" s="43" t="s">
        <v>26</v>
      </c>
      <c r="G6" s="41" t="s">
        <v>29</v>
      </c>
      <c r="H6" s="41" t="s">
        <v>29</v>
      </c>
      <c r="I6" s="41" t="s">
        <v>29</v>
      </c>
      <c r="J6" s="43" t="s">
        <v>26</v>
      </c>
      <c r="K6" s="41">
        <v>500</v>
      </c>
      <c r="L6" s="41" t="s">
        <v>26</v>
      </c>
      <c r="M6" s="41">
        <f>170/20</f>
        <v>8.5</v>
      </c>
      <c r="N6" s="41">
        <f>170/20</f>
        <v>8.5</v>
      </c>
      <c r="O6" s="41" t="s">
        <v>29</v>
      </c>
      <c r="P6" s="41" t="s">
        <v>29</v>
      </c>
      <c r="Q6" s="41" t="s">
        <v>369</v>
      </c>
      <c r="R6" s="41" t="s">
        <v>528</v>
      </c>
      <c r="S6" s="41">
        <v>10</v>
      </c>
      <c r="T6" s="43" t="s">
        <v>175</v>
      </c>
      <c r="U6" s="46"/>
      <c r="V6" s="46"/>
      <c r="W6" s="46"/>
      <c r="X6" s="46"/>
      <c r="Y6" s="46"/>
      <c r="Z6" s="46"/>
    </row>
    <row r="7" spans="1:26" s="47" customFormat="1" ht="31.2" customHeight="1">
      <c r="A7" s="41">
        <v>53</v>
      </c>
      <c r="B7" s="41" t="s">
        <v>69</v>
      </c>
      <c r="C7" s="41" t="s">
        <v>364</v>
      </c>
      <c r="D7" s="41" t="s">
        <v>42</v>
      </c>
      <c r="E7" s="8">
        <f>1650*60</f>
        <v>99000</v>
      </c>
      <c r="F7" s="41" t="s">
        <v>26</v>
      </c>
      <c r="G7" s="61">
        <f>250/60</f>
        <v>4.166666666666667</v>
      </c>
      <c r="H7" s="53">
        <f>300/60</f>
        <v>5</v>
      </c>
      <c r="I7" s="62">
        <f>294.25/60</f>
        <v>4.9041666666666668</v>
      </c>
      <c r="J7" s="42" t="s">
        <v>533</v>
      </c>
      <c r="K7" s="53" t="s">
        <v>29</v>
      </c>
      <c r="L7" s="53" t="s">
        <v>29</v>
      </c>
      <c r="M7" s="53" t="s">
        <v>29</v>
      </c>
      <c r="N7" s="53" t="s">
        <v>29</v>
      </c>
      <c r="O7" s="53" t="s">
        <v>29</v>
      </c>
      <c r="P7" s="53" t="s">
        <v>29</v>
      </c>
      <c r="Q7" s="8" t="s">
        <v>371</v>
      </c>
      <c r="R7" s="8" t="s">
        <v>372</v>
      </c>
      <c r="S7" s="8" t="s">
        <v>517</v>
      </c>
      <c r="T7" s="41" t="s">
        <v>281</v>
      </c>
      <c r="U7" s="46"/>
      <c r="V7" s="46"/>
      <c r="W7" s="46"/>
      <c r="X7" s="46"/>
      <c r="Y7" s="46"/>
      <c r="Z7" s="46"/>
    </row>
    <row r="8" spans="1:26" s="47" customFormat="1" ht="14.25" customHeight="1">
      <c r="A8" s="41">
        <v>53</v>
      </c>
      <c r="B8" s="41" t="s">
        <v>67</v>
      </c>
      <c r="C8" s="41" t="s">
        <v>373</v>
      </c>
      <c r="D8" s="41" t="s">
        <v>374</v>
      </c>
      <c r="E8" s="8">
        <v>50</v>
      </c>
      <c r="F8" s="41" t="s">
        <v>26</v>
      </c>
      <c r="G8" s="8">
        <v>140</v>
      </c>
      <c r="H8" s="8">
        <v>140</v>
      </c>
      <c r="I8" s="53" t="s">
        <v>29</v>
      </c>
      <c r="J8" s="43" t="s">
        <v>26</v>
      </c>
      <c r="K8" s="53" t="s">
        <v>29</v>
      </c>
      <c r="L8" s="53" t="s">
        <v>29</v>
      </c>
      <c r="M8" s="53" t="s">
        <v>29</v>
      </c>
      <c r="N8" s="53" t="s">
        <v>29</v>
      </c>
      <c r="O8" s="53" t="s">
        <v>29</v>
      </c>
      <c r="P8" s="53" t="s">
        <v>29</v>
      </c>
      <c r="Q8" s="8" t="s">
        <v>375</v>
      </c>
      <c r="R8" s="54" t="s">
        <v>29</v>
      </c>
      <c r="S8" s="54" t="s">
        <v>29</v>
      </c>
      <c r="T8" s="53" t="s">
        <v>29</v>
      </c>
      <c r="U8" s="46"/>
      <c r="V8" s="46"/>
      <c r="W8" s="46"/>
      <c r="X8" s="46"/>
      <c r="Y8" s="46"/>
      <c r="Z8" s="46"/>
    </row>
    <row r="9" spans="1:26" s="47" customFormat="1" ht="14.25" customHeight="1">
      <c r="A9" s="41">
        <v>53</v>
      </c>
      <c r="B9" s="41" t="s">
        <v>141</v>
      </c>
      <c r="C9" s="41" t="s">
        <v>373</v>
      </c>
      <c r="D9" s="41" t="s">
        <v>374</v>
      </c>
      <c r="E9" s="8">
        <v>100</v>
      </c>
      <c r="F9" s="41" t="s">
        <v>143</v>
      </c>
      <c r="G9" s="8">
        <v>70</v>
      </c>
      <c r="H9" s="8">
        <v>70</v>
      </c>
      <c r="I9" s="53" t="s">
        <v>29</v>
      </c>
      <c r="J9" s="43" t="s">
        <v>26</v>
      </c>
      <c r="K9" s="8">
        <v>100</v>
      </c>
      <c r="L9" s="54" t="s">
        <v>143</v>
      </c>
      <c r="M9" s="8">
        <v>70</v>
      </c>
      <c r="N9" s="8">
        <v>70</v>
      </c>
      <c r="O9" s="53" t="s">
        <v>29</v>
      </c>
      <c r="P9" s="53" t="s">
        <v>29</v>
      </c>
      <c r="Q9" s="8" t="s">
        <v>375</v>
      </c>
      <c r="R9" s="54" t="s">
        <v>29</v>
      </c>
      <c r="S9" s="54" t="s">
        <v>29</v>
      </c>
      <c r="T9" s="53" t="s">
        <v>29</v>
      </c>
      <c r="U9" s="46"/>
      <c r="V9" s="46"/>
      <c r="W9" s="46"/>
      <c r="X9" s="46"/>
      <c r="Y9" s="46"/>
      <c r="Z9" s="46"/>
    </row>
    <row r="10" spans="1:26" s="47" customFormat="1" ht="14.25" customHeight="1">
      <c r="A10" s="41">
        <v>53</v>
      </c>
      <c r="B10" s="41" t="s">
        <v>144</v>
      </c>
      <c r="C10" s="41" t="s">
        <v>373</v>
      </c>
      <c r="D10" s="41" t="s">
        <v>374</v>
      </c>
      <c r="E10" s="8">
        <v>35</v>
      </c>
      <c r="F10" s="41" t="s">
        <v>143</v>
      </c>
      <c r="G10" s="8">
        <v>55</v>
      </c>
      <c r="H10" s="8">
        <v>55</v>
      </c>
      <c r="I10" s="53" t="s">
        <v>29</v>
      </c>
      <c r="J10" s="43" t="s">
        <v>26</v>
      </c>
      <c r="K10" s="53" t="s">
        <v>29</v>
      </c>
      <c r="L10" s="53" t="s">
        <v>29</v>
      </c>
      <c r="M10" s="53" t="s">
        <v>29</v>
      </c>
      <c r="N10" s="53" t="s">
        <v>29</v>
      </c>
      <c r="O10" s="53" t="s">
        <v>29</v>
      </c>
      <c r="P10" s="53" t="s">
        <v>29</v>
      </c>
      <c r="Q10" s="8" t="s">
        <v>375</v>
      </c>
      <c r="R10" s="54" t="s">
        <v>29</v>
      </c>
      <c r="S10" s="54" t="s">
        <v>29</v>
      </c>
      <c r="T10" s="53" t="s">
        <v>29</v>
      </c>
      <c r="U10" s="46"/>
      <c r="V10" s="46"/>
      <c r="W10" s="46"/>
      <c r="X10" s="46"/>
      <c r="Y10" s="46"/>
      <c r="Z10" s="46"/>
    </row>
    <row r="11" spans="1:26" s="47" customFormat="1" ht="14.25" customHeight="1">
      <c r="A11" s="43">
        <v>54</v>
      </c>
      <c r="B11" s="43" t="s">
        <v>69</v>
      </c>
      <c r="C11" s="43" t="s">
        <v>376</v>
      </c>
      <c r="D11" s="43" t="s">
        <v>377</v>
      </c>
      <c r="E11" s="56">
        <f>400*60</f>
        <v>24000</v>
      </c>
      <c r="F11" s="43" t="s">
        <v>26</v>
      </c>
      <c r="G11" s="57">
        <f>250/60</f>
        <v>4.166666666666667</v>
      </c>
      <c r="H11" s="57">
        <f>340/60</f>
        <v>5.666666666666667</v>
      </c>
      <c r="I11" s="43" t="s">
        <v>29</v>
      </c>
      <c r="J11" s="43" t="s">
        <v>26</v>
      </c>
      <c r="K11" s="43" t="s">
        <v>29</v>
      </c>
      <c r="L11" s="43" t="s">
        <v>29</v>
      </c>
      <c r="M11" s="43" t="s">
        <v>29</v>
      </c>
      <c r="N11" s="43" t="s">
        <v>29</v>
      </c>
      <c r="O11" s="43"/>
      <c r="P11" s="43"/>
      <c r="Q11" s="56" t="s">
        <v>378</v>
      </c>
      <c r="R11" s="56" t="s">
        <v>29</v>
      </c>
      <c r="S11" s="56">
        <v>2500</v>
      </c>
      <c r="T11" s="56" t="s">
        <v>379</v>
      </c>
      <c r="U11" s="46"/>
      <c r="V11" s="46"/>
      <c r="W11" s="46"/>
      <c r="X11" s="46"/>
      <c r="Y11" s="46"/>
      <c r="Z11" s="46"/>
    </row>
    <row r="12" spans="1:26" s="47" customFormat="1" ht="14.25" customHeight="1">
      <c r="A12" s="43">
        <v>54</v>
      </c>
      <c r="B12" s="43" t="s">
        <v>67</v>
      </c>
      <c r="C12" s="43" t="s">
        <v>364</v>
      </c>
      <c r="D12" s="43" t="s">
        <v>377</v>
      </c>
      <c r="E12" s="56">
        <f>AVERAGE(500,600)</f>
        <v>550</v>
      </c>
      <c r="F12" s="43" t="s">
        <v>26</v>
      </c>
      <c r="G12" s="56">
        <v>40</v>
      </c>
      <c r="H12" s="56">
        <v>100</v>
      </c>
      <c r="I12" s="43" t="s">
        <v>29</v>
      </c>
      <c r="J12" s="43" t="s">
        <v>26</v>
      </c>
      <c r="K12" s="56">
        <f>AVERAGE(500,600)</f>
        <v>550</v>
      </c>
      <c r="L12" s="56" t="s">
        <v>26</v>
      </c>
      <c r="M12" s="56">
        <v>40</v>
      </c>
      <c r="N12" s="56">
        <v>100</v>
      </c>
      <c r="O12" s="43" t="s">
        <v>29</v>
      </c>
      <c r="P12" s="43" t="s">
        <v>29</v>
      </c>
      <c r="Q12" s="56" t="s">
        <v>378</v>
      </c>
      <c r="R12" s="56" t="s">
        <v>29</v>
      </c>
      <c r="S12" s="56">
        <v>2500</v>
      </c>
      <c r="T12" s="56" t="s">
        <v>379</v>
      </c>
      <c r="U12" s="46"/>
      <c r="V12" s="46"/>
      <c r="W12" s="46"/>
      <c r="X12" s="46"/>
      <c r="Y12" s="46"/>
      <c r="Z12" s="46"/>
    </row>
    <row r="13" spans="1:26" s="47" customFormat="1" ht="34.5" customHeight="1">
      <c r="A13" s="43">
        <v>55</v>
      </c>
      <c r="B13" s="43" t="s">
        <v>69</v>
      </c>
      <c r="C13" s="42" t="s">
        <v>380</v>
      </c>
      <c r="D13" s="43" t="s">
        <v>59</v>
      </c>
      <c r="E13" s="56">
        <f>1000*60</f>
        <v>60000</v>
      </c>
      <c r="F13" s="43" t="s">
        <v>26</v>
      </c>
      <c r="G13" s="63">
        <f>250/60</f>
        <v>4.166666666666667</v>
      </c>
      <c r="H13" s="63">
        <f>250/60</f>
        <v>4.166666666666667</v>
      </c>
      <c r="I13" s="51">
        <f>280/60</f>
        <v>4.666666666666667</v>
      </c>
      <c r="J13" s="42" t="s">
        <v>535</v>
      </c>
      <c r="K13" s="43" t="s">
        <v>29</v>
      </c>
      <c r="L13" s="43" t="s">
        <v>29</v>
      </c>
      <c r="M13" s="43" t="s">
        <v>29</v>
      </c>
      <c r="N13" s="43" t="s">
        <v>29</v>
      </c>
      <c r="O13" s="43" t="s">
        <v>29</v>
      </c>
      <c r="P13" s="43" t="s">
        <v>29</v>
      </c>
      <c r="Q13" s="42" t="s">
        <v>381</v>
      </c>
      <c r="R13" s="43" t="s">
        <v>51</v>
      </c>
      <c r="S13" s="43" t="s">
        <v>29</v>
      </c>
      <c r="T13" s="43" t="s">
        <v>382</v>
      </c>
      <c r="U13" s="46"/>
      <c r="V13" s="46"/>
      <c r="W13" s="46"/>
      <c r="X13" s="46"/>
      <c r="Y13" s="46"/>
      <c r="Z13" s="46"/>
    </row>
    <row r="14" spans="1:26" s="47" customFormat="1" ht="30.75" customHeight="1">
      <c r="A14" s="43">
        <v>55</v>
      </c>
      <c r="B14" s="43" t="s">
        <v>69</v>
      </c>
      <c r="C14" s="42" t="s">
        <v>383</v>
      </c>
      <c r="D14" s="43" t="s">
        <v>384</v>
      </c>
      <c r="E14" s="56">
        <f>4800*60</f>
        <v>288000</v>
      </c>
      <c r="F14" s="43" t="s">
        <v>26</v>
      </c>
      <c r="G14" s="64">
        <f>210/60</f>
        <v>3.5</v>
      </c>
      <c r="H14" s="43">
        <f>300/60</f>
        <v>5</v>
      </c>
      <c r="I14" s="43">
        <f>285/60</f>
        <v>4.75</v>
      </c>
      <c r="J14" s="42" t="s">
        <v>534</v>
      </c>
      <c r="K14" s="43" t="s">
        <v>29</v>
      </c>
      <c r="L14" s="43" t="s">
        <v>29</v>
      </c>
      <c r="M14" s="43" t="s">
        <v>29</v>
      </c>
      <c r="N14" s="43" t="s">
        <v>29</v>
      </c>
      <c r="O14" s="43" t="s">
        <v>29</v>
      </c>
      <c r="P14" s="43" t="s">
        <v>29</v>
      </c>
      <c r="Q14" s="42" t="s">
        <v>385</v>
      </c>
      <c r="R14" s="43" t="s">
        <v>51</v>
      </c>
      <c r="S14" s="42" t="s">
        <v>386</v>
      </c>
      <c r="T14" s="43" t="s">
        <v>387</v>
      </c>
      <c r="U14" s="46"/>
      <c r="V14" s="46"/>
      <c r="W14" s="46"/>
      <c r="X14" s="46"/>
      <c r="Y14" s="46"/>
      <c r="Z14" s="46"/>
    </row>
    <row r="15" spans="1:26" s="47" customFormat="1" ht="13.5" customHeight="1">
      <c r="A15" s="43">
        <v>55</v>
      </c>
      <c r="B15" s="43" t="s">
        <v>67</v>
      </c>
      <c r="C15" s="42" t="s">
        <v>388</v>
      </c>
      <c r="D15" s="43" t="s">
        <v>389</v>
      </c>
      <c r="E15" s="56">
        <f>55*1000</f>
        <v>55000</v>
      </c>
      <c r="F15" s="43" t="s">
        <v>26</v>
      </c>
      <c r="G15" s="56">
        <v>120</v>
      </c>
      <c r="H15" s="56">
        <v>135</v>
      </c>
      <c r="I15" s="43" t="s">
        <v>29</v>
      </c>
      <c r="J15" s="43" t="s">
        <v>29</v>
      </c>
      <c r="K15" s="43" t="s">
        <v>29</v>
      </c>
      <c r="L15" s="43" t="s">
        <v>29</v>
      </c>
      <c r="M15" s="43" t="s">
        <v>29</v>
      </c>
      <c r="N15" s="43" t="s">
        <v>29</v>
      </c>
      <c r="O15" s="43" t="s">
        <v>29</v>
      </c>
      <c r="P15" s="43" t="s">
        <v>29</v>
      </c>
      <c r="Q15" s="42" t="s">
        <v>382</v>
      </c>
      <c r="R15" s="43" t="s">
        <v>51</v>
      </c>
      <c r="S15" s="43" t="s">
        <v>29</v>
      </c>
      <c r="T15" s="43" t="s">
        <v>382</v>
      </c>
      <c r="U15" s="46"/>
      <c r="V15" s="46"/>
      <c r="W15" s="46"/>
      <c r="X15" s="46"/>
      <c r="Y15" s="46"/>
      <c r="Z15" s="46"/>
    </row>
    <row r="16" spans="1:26" s="47" customFormat="1" ht="13.8" customHeight="1">
      <c r="A16" s="43">
        <v>55</v>
      </c>
      <c r="B16" s="43" t="s">
        <v>67</v>
      </c>
      <c r="C16" s="42" t="s">
        <v>390</v>
      </c>
      <c r="D16" s="43" t="s">
        <v>391</v>
      </c>
      <c r="E16" s="56">
        <f>18*1000</f>
        <v>18000</v>
      </c>
      <c r="F16" s="43" t="s">
        <v>26</v>
      </c>
      <c r="G16" s="56">
        <v>120</v>
      </c>
      <c r="H16" s="56">
        <v>135</v>
      </c>
      <c r="I16" s="43" t="s">
        <v>29</v>
      </c>
      <c r="J16" s="43" t="s">
        <v>29</v>
      </c>
      <c r="K16" s="43" t="s">
        <v>29</v>
      </c>
      <c r="L16" s="43" t="s">
        <v>29</v>
      </c>
      <c r="M16" s="43" t="s">
        <v>29</v>
      </c>
      <c r="N16" s="43" t="s">
        <v>29</v>
      </c>
      <c r="O16" s="43" t="s">
        <v>29</v>
      </c>
      <c r="P16" s="43" t="s">
        <v>29</v>
      </c>
      <c r="Q16" s="42" t="s">
        <v>392</v>
      </c>
      <c r="R16" s="43" t="s">
        <v>29</v>
      </c>
      <c r="S16" s="43" t="s">
        <v>393</v>
      </c>
      <c r="T16" s="43" t="s">
        <v>149</v>
      </c>
      <c r="U16" s="46"/>
      <c r="V16" s="46"/>
      <c r="W16" s="46"/>
      <c r="X16" s="46"/>
      <c r="Y16" s="46"/>
      <c r="Z16" s="46"/>
    </row>
    <row r="17" spans="1:26" s="47" customFormat="1" ht="14.25" customHeight="1">
      <c r="A17" s="43">
        <v>55</v>
      </c>
      <c r="B17" s="43" t="s">
        <v>67</v>
      </c>
      <c r="C17" s="42" t="s">
        <v>394</v>
      </c>
      <c r="D17" s="43" t="s">
        <v>25</v>
      </c>
      <c r="E17" s="56">
        <f>8*1000</f>
        <v>8000</v>
      </c>
      <c r="F17" s="43" t="s">
        <v>26</v>
      </c>
      <c r="G17" s="56">
        <v>120</v>
      </c>
      <c r="H17" s="56">
        <v>135</v>
      </c>
      <c r="I17" s="43" t="s">
        <v>29</v>
      </c>
      <c r="J17" s="43" t="s">
        <v>29</v>
      </c>
      <c r="K17" s="43" t="s">
        <v>29</v>
      </c>
      <c r="L17" s="43" t="s">
        <v>29</v>
      </c>
      <c r="M17" s="43" t="s">
        <v>29</v>
      </c>
      <c r="N17" s="43" t="s">
        <v>29</v>
      </c>
      <c r="O17" s="43" t="s">
        <v>29</v>
      </c>
      <c r="P17" s="43" t="s">
        <v>29</v>
      </c>
      <c r="Q17" s="42" t="s">
        <v>395</v>
      </c>
      <c r="R17" s="43" t="s">
        <v>29</v>
      </c>
      <c r="S17" s="43" t="s">
        <v>396</v>
      </c>
      <c r="T17" s="43" t="s">
        <v>397</v>
      </c>
      <c r="U17" s="46"/>
      <c r="V17" s="46"/>
      <c r="W17" s="46"/>
      <c r="X17" s="46"/>
      <c r="Y17" s="46"/>
      <c r="Z17" s="46"/>
    </row>
    <row r="18" spans="1:26" s="47" customFormat="1" ht="14.25" customHeight="1">
      <c r="A18" s="43">
        <v>55</v>
      </c>
      <c r="B18" s="43" t="s">
        <v>67</v>
      </c>
      <c r="C18" s="42" t="s">
        <v>398</v>
      </c>
      <c r="D18" s="43" t="s">
        <v>97</v>
      </c>
      <c r="E18" s="56">
        <v>4500</v>
      </c>
      <c r="F18" s="43" t="s">
        <v>26</v>
      </c>
      <c r="G18" s="56">
        <v>120</v>
      </c>
      <c r="H18" s="56">
        <v>135</v>
      </c>
      <c r="I18" s="43" t="s">
        <v>29</v>
      </c>
      <c r="J18" s="43" t="s">
        <v>29</v>
      </c>
      <c r="K18" s="43" t="s">
        <v>29</v>
      </c>
      <c r="L18" s="43" t="s">
        <v>29</v>
      </c>
      <c r="M18" s="43" t="s">
        <v>29</v>
      </c>
      <c r="N18" s="43" t="s">
        <v>29</v>
      </c>
      <c r="O18" s="43" t="s">
        <v>29</v>
      </c>
      <c r="P18" s="43" t="s">
        <v>29</v>
      </c>
      <c r="Q18" s="42" t="s">
        <v>399</v>
      </c>
      <c r="R18" s="43" t="s">
        <v>29</v>
      </c>
      <c r="S18" s="43" t="s">
        <v>29</v>
      </c>
      <c r="T18" s="43" t="s">
        <v>367</v>
      </c>
      <c r="U18" s="46"/>
      <c r="V18" s="46"/>
      <c r="W18" s="46"/>
      <c r="X18" s="46"/>
      <c r="Y18" s="46"/>
      <c r="Z18" s="46"/>
    </row>
    <row r="19" spans="1:26" s="47" customFormat="1" ht="14.25" customHeight="1">
      <c r="A19" s="43">
        <v>56</v>
      </c>
      <c r="B19" s="55" t="s">
        <v>67</v>
      </c>
      <c r="C19" s="42" t="s">
        <v>400</v>
      </c>
      <c r="D19" s="43" t="s">
        <v>401</v>
      </c>
      <c r="E19" s="43">
        <f>34*1000</f>
        <v>34000</v>
      </c>
      <c r="F19" s="43" t="s">
        <v>26</v>
      </c>
      <c r="G19" s="51">
        <v>125</v>
      </c>
      <c r="H19" s="43">
        <f>AVERAGE(130,155)</f>
        <v>142.5</v>
      </c>
      <c r="I19" s="43" t="s">
        <v>29</v>
      </c>
      <c r="J19" s="43" t="s">
        <v>29</v>
      </c>
      <c r="K19" s="43" t="s">
        <v>29</v>
      </c>
      <c r="L19" s="43" t="s">
        <v>29</v>
      </c>
      <c r="M19" s="43" t="s">
        <v>29</v>
      </c>
      <c r="N19" s="43" t="s">
        <v>29</v>
      </c>
      <c r="O19" s="43" t="s">
        <v>29</v>
      </c>
      <c r="P19" s="43" t="s">
        <v>29</v>
      </c>
      <c r="Q19" s="43" t="s">
        <v>402</v>
      </c>
      <c r="R19" s="43" t="s">
        <v>29</v>
      </c>
      <c r="S19" s="43" t="s">
        <v>567</v>
      </c>
      <c r="T19" s="43" t="s">
        <v>29</v>
      </c>
      <c r="U19" s="46"/>
      <c r="V19" s="46"/>
      <c r="W19" s="46"/>
      <c r="X19" s="46"/>
      <c r="Y19" s="46"/>
      <c r="Z19" s="46"/>
    </row>
    <row r="20" spans="1:26" s="47" customFormat="1" ht="14.25" customHeight="1">
      <c r="A20" s="43">
        <v>56</v>
      </c>
      <c r="B20" s="55" t="s">
        <v>67</v>
      </c>
      <c r="C20" s="42" t="s">
        <v>403</v>
      </c>
      <c r="D20" s="42" t="s">
        <v>92</v>
      </c>
      <c r="E20" s="43">
        <f>17*1000</f>
        <v>17000</v>
      </c>
      <c r="F20" s="43" t="s">
        <v>26</v>
      </c>
      <c r="G20" s="51">
        <v>140</v>
      </c>
      <c r="H20" s="43">
        <f>AVERAGE(145,155)</f>
        <v>150</v>
      </c>
      <c r="I20" s="43" t="s">
        <v>29</v>
      </c>
      <c r="J20" s="43" t="s">
        <v>29</v>
      </c>
      <c r="K20" s="43" t="s">
        <v>29</v>
      </c>
      <c r="L20" s="43" t="s">
        <v>29</v>
      </c>
      <c r="M20" s="43" t="s">
        <v>29</v>
      </c>
      <c r="N20" s="43" t="s">
        <v>29</v>
      </c>
      <c r="O20" s="43" t="s">
        <v>29</v>
      </c>
      <c r="P20" s="43" t="s">
        <v>29</v>
      </c>
      <c r="Q20" s="43" t="s">
        <v>149</v>
      </c>
      <c r="R20" s="43" t="s">
        <v>29</v>
      </c>
      <c r="S20" s="43" t="s">
        <v>567</v>
      </c>
      <c r="T20" s="43" t="s">
        <v>29</v>
      </c>
      <c r="U20" s="46"/>
      <c r="V20" s="46"/>
      <c r="W20" s="46"/>
      <c r="X20" s="46"/>
      <c r="Y20" s="46"/>
      <c r="Z20" s="46"/>
    </row>
    <row r="21" spans="1:26" s="47" customFormat="1" ht="14.25" customHeight="1">
      <c r="A21" s="43">
        <v>56</v>
      </c>
      <c r="B21" s="55" t="s">
        <v>67</v>
      </c>
      <c r="C21" s="43" t="s">
        <v>404</v>
      </c>
      <c r="D21" s="43" t="s">
        <v>405</v>
      </c>
      <c r="E21" s="43">
        <f>3.5*1000</f>
        <v>3500</v>
      </c>
      <c r="F21" s="43" t="s">
        <v>26</v>
      </c>
      <c r="G21" s="43">
        <v>120</v>
      </c>
      <c r="H21" s="43">
        <v>120</v>
      </c>
      <c r="I21" s="43" t="s">
        <v>29</v>
      </c>
      <c r="J21" s="43" t="s">
        <v>29</v>
      </c>
      <c r="K21" s="43" t="s">
        <v>29</v>
      </c>
      <c r="L21" s="43" t="s">
        <v>29</v>
      </c>
      <c r="M21" s="43" t="s">
        <v>29</v>
      </c>
      <c r="N21" s="43" t="s">
        <v>29</v>
      </c>
      <c r="O21" s="43" t="s">
        <v>29</v>
      </c>
      <c r="P21" s="43" t="s">
        <v>29</v>
      </c>
      <c r="Q21" s="43" t="s">
        <v>402</v>
      </c>
      <c r="R21" s="43" t="s">
        <v>29</v>
      </c>
      <c r="S21" s="43" t="s">
        <v>567</v>
      </c>
      <c r="T21" s="43" t="s">
        <v>29</v>
      </c>
      <c r="U21" s="46"/>
      <c r="V21" s="46"/>
      <c r="W21" s="46"/>
      <c r="X21" s="46"/>
      <c r="Y21" s="46"/>
      <c r="Z21" s="46"/>
    </row>
    <row r="22" spans="1:26" s="47" customFormat="1" ht="14.25" customHeight="1">
      <c r="A22" s="43">
        <v>56</v>
      </c>
      <c r="B22" s="55" t="s">
        <v>67</v>
      </c>
      <c r="C22" s="43" t="s">
        <v>406</v>
      </c>
      <c r="D22" s="43" t="s">
        <v>70</v>
      </c>
      <c r="E22" s="43">
        <f>5*1000</f>
        <v>5000</v>
      </c>
      <c r="F22" s="43" t="s">
        <v>26</v>
      </c>
      <c r="G22" s="43">
        <v>140</v>
      </c>
      <c r="H22" s="43">
        <v>140</v>
      </c>
      <c r="I22" s="43" t="s">
        <v>29</v>
      </c>
      <c r="J22" s="43" t="s">
        <v>29</v>
      </c>
      <c r="K22" s="43" t="s">
        <v>29</v>
      </c>
      <c r="L22" s="43" t="s">
        <v>29</v>
      </c>
      <c r="M22" s="43" t="s">
        <v>29</v>
      </c>
      <c r="N22" s="43" t="s">
        <v>29</v>
      </c>
      <c r="O22" s="43" t="s">
        <v>29</v>
      </c>
      <c r="P22" s="43" t="s">
        <v>29</v>
      </c>
      <c r="Q22" s="43" t="s">
        <v>407</v>
      </c>
      <c r="R22" s="43" t="s">
        <v>29</v>
      </c>
      <c r="S22" s="43" t="s">
        <v>481</v>
      </c>
      <c r="T22" s="43" t="s">
        <v>29</v>
      </c>
      <c r="U22" s="46"/>
      <c r="V22" s="46"/>
      <c r="W22" s="46"/>
      <c r="X22" s="46"/>
      <c r="Y22" s="46"/>
      <c r="Z22" s="46"/>
    </row>
    <row r="23" spans="1:26" s="46" customFormat="1" ht="14.25" customHeight="1">
      <c r="A23" s="43">
        <v>56</v>
      </c>
      <c r="B23" s="43" t="s">
        <v>69</v>
      </c>
      <c r="C23" s="43" t="s">
        <v>364</v>
      </c>
      <c r="D23" s="43" t="s">
        <v>70</v>
      </c>
      <c r="E23" s="107">
        <v>0.7</v>
      </c>
      <c r="F23" s="43" t="s">
        <v>370</v>
      </c>
      <c r="G23" s="43">
        <f>420/60</f>
        <v>7</v>
      </c>
      <c r="H23" s="43">
        <f t="shared" ref="H23" si="0">420/60</f>
        <v>7</v>
      </c>
      <c r="I23" s="43" t="s">
        <v>29</v>
      </c>
      <c r="J23" s="43" t="s">
        <v>370</v>
      </c>
      <c r="K23" s="43" t="s">
        <v>29</v>
      </c>
      <c r="L23" s="43" t="s">
        <v>29</v>
      </c>
      <c r="M23" s="43" t="s">
        <v>29</v>
      </c>
      <c r="N23" s="43" t="s">
        <v>29</v>
      </c>
      <c r="O23" s="43" t="s">
        <v>29</v>
      </c>
      <c r="P23" s="43" t="s">
        <v>29</v>
      </c>
      <c r="Q23" s="43" t="s">
        <v>408</v>
      </c>
      <c r="R23" s="43" t="s">
        <v>29</v>
      </c>
      <c r="S23" s="43" t="s">
        <v>29</v>
      </c>
      <c r="T23" s="43" t="s">
        <v>29</v>
      </c>
    </row>
    <row r="24" spans="1:26" s="47" customFormat="1" ht="14.25" customHeight="1">
      <c r="A24" s="43">
        <v>56</v>
      </c>
      <c r="B24" s="43" t="s">
        <v>69</v>
      </c>
      <c r="C24" s="42" t="s">
        <v>403</v>
      </c>
      <c r="D24" s="43" t="s">
        <v>70</v>
      </c>
      <c r="E24" s="43">
        <f>400*60</f>
        <v>24000</v>
      </c>
      <c r="F24" s="43" t="s">
        <v>26</v>
      </c>
      <c r="G24" s="43">
        <f>390/60</f>
        <v>6.5</v>
      </c>
      <c r="H24" s="43">
        <f t="shared" ref="H24" si="1">390/60</f>
        <v>6.5</v>
      </c>
      <c r="I24" s="43" t="s">
        <v>29</v>
      </c>
      <c r="J24" s="43" t="s">
        <v>29</v>
      </c>
      <c r="K24" s="43" t="s">
        <v>29</v>
      </c>
      <c r="L24" s="43" t="s">
        <v>29</v>
      </c>
      <c r="M24" s="43" t="s">
        <v>29</v>
      </c>
      <c r="N24" s="43" t="s">
        <v>29</v>
      </c>
      <c r="O24" s="43" t="s">
        <v>29</v>
      </c>
      <c r="P24" s="43" t="s">
        <v>29</v>
      </c>
      <c r="Q24" s="43" t="s">
        <v>409</v>
      </c>
      <c r="R24" s="43" t="s">
        <v>29</v>
      </c>
      <c r="S24" s="43">
        <v>1500</v>
      </c>
      <c r="T24" s="43" t="s">
        <v>149</v>
      </c>
      <c r="U24" s="46"/>
      <c r="V24" s="46"/>
      <c r="W24" s="46"/>
      <c r="X24" s="46"/>
      <c r="Y24" s="46"/>
      <c r="Z24" s="46"/>
    </row>
    <row r="25" spans="1:26" s="47" customFormat="1" ht="14.25" customHeight="1">
      <c r="A25" s="43">
        <v>56</v>
      </c>
      <c r="B25" s="43" t="s">
        <v>69</v>
      </c>
      <c r="C25" s="43" t="s">
        <v>410</v>
      </c>
      <c r="D25" s="43" t="s">
        <v>25</v>
      </c>
      <c r="E25" s="43">
        <f>650*60</f>
        <v>39000</v>
      </c>
      <c r="F25" s="43" t="s">
        <v>26</v>
      </c>
      <c r="G25" s="43">
        <f>450/60</f>
        <v>7.5</v>
      </c>
      <c r="H25" s="43">
        <f t="shared" ref="H25" si="2">450/60</f>
        <v>7.5</v>
      </c>
      <c r="I25" s="43" t="s">
        <v>29</v>
      </c>
      <c r="J25" s="43" t="s">
        <v>29</v>
      </c>
      <c r="K25" s="43" t="s">
        <v>29</v>
      </c>
      <c r="L25" s="43" t="s">
        <v>29</v>
      </c>
      <c r="M25" s="43" t="s">
        <v>29</v>
      </c>
      <c r="N25" s="43" t="s">
        <v>29</v>
      </c>
      <c r="O25" s="43" t="s">
        <v>29</v>
      </c>
      <c r="P25" s="43" t="s">
        <v>29</v>
      </c>
      <c r="Q25" s="43" t="s">
        <v>378</v>
      </c>
      <c r="R25" s="43" t="s">
        <v>29</v>
      </c>
      <c r="S25" s="43" t="s">
        <v>29</v>
      </c>
      <c r="T25" s="43" t="s">
        <v>29</v>
      </c>
      <c r="U25" s="46"/>
      <c r="V25" s="46"/>
      <c r="W25" s="46"/>
      <c r="X25" s="46"/>
      <c r="Y25" s="46"/>
      <c r="Z25" s="46"/>
    </row>
    <row r="26" spans="1:26" s="47" customFormat="1" ht="14.25" customHeight="1">
      <c r="A26" s="43">
        <v>57</v>
      </c>
      <c r="B26" s="43" t="s">
        <v>69</v>
      </c>
      <c r="C26" s="43" t="s">
        <v>411</v>
      </c>
      <c r="D26" s="43" t="s">
        <v>377</v>
      </c>
      <c r="E26" s="43" t="s">
        <v>29</v>
      </c>
      <c r="F26" s="43" t="s">
        <v>29</v>
      </c>
      <c r="G26" s="43" t="s">
        <v>29</v>
      </c>
      <c r="H26" s="43" t="s">
        <v>29</v>
      </c>
      <c r="I26" s="43" t="s">
        <v>29</v>
      </c>
      <c r="J26" s="43" t="s">
        <v>29</v>
      </c>
      <c r="K26" s="43" t="s">
        <v>29</v>
      </c>
      <c r="L26" s="43" t="s">
        <v>29</v>
      </c>
      <c r="M26" s="43" t="s">
        <v>29</v>
      </c>
      <c r="N26" s="43" t="s">
        <v>29</v>
      </c>
      <c r="O26" s="43" t="s">
        <v>29</v>
      </c>
      <c r="P26" s="43" t="s">
        <v>29</v>
      </c>
      <c r="Q26" s="43" t="s">
        <v>29</v>
      </c>
      <c r="R26" s="43" t="s">
        <v>412</v>
      </c>
      <c r="S26" s="43" t="s">
        <v>29</v>
      </c>
      <c r="T26" s="43" t="s">
        <v>413</v>
      </c>
      <c r="U26" s="46"/>
      <c r="V26" s="46"/>
      <c r="W26" s="46"/>
      <c r="X26" s="46"/>
      <c r="Y26" s="46"/>
      <c r="Z26" s="46"/>
    </row>
    <row r="27" spans="1:26" s="47" customFormat="1" ht="35.4" customHeight="1">
      <c r="A27" s="43">
        <v>58</v>
      </c>
      <c r="B27" s="43" t="s">
        <v>69</v>
      </c>
      <c r="C27" s="43" t="s">
        <v>414</v>
      </c>
      <c r="D27" s="43" t="s">
        <v>70</v>
      </c>
      <c r="E27" s="43">
        <f>400*50</f>
        <v>20000</v>
      </c>
      <c r="F27" s="43" t="s">
        <v>26</v>
      </c>
      <c r="G27" s="43" t="s">
        <v>29</v>
      </c>
      <c r="H27" s="43" t="s">
        <v>29</v>
      </c>
      <c r="I27" s="43">
        <v>3.3</v>
      </c>
      <c r="J27" s="42" t="s">
        <v>570</v>
      </c>
      <c r="K27" s="43" t="s">
        <v>29</v>
      </c>
      <c r="L27" s="43" t="s">
        <v>29</v>
      </c>
      <c r="M27" s="43" t="s">
        <v>29</v>
      </c>
      <c r="N27" s="43" t="s">
        <v>29</v>
      </c>
      <c r="O27" s="43" t="s">
        <v>29</v>
      </c>
      <c r="P27" s="43" t="s">
        <v>29</v>
      </c>
      <c r="Q27" s="43" t="s">
        <v>402</v>
      </c>
      <c r="R27" s="43" t="s">
        <v>77</v>
      </c>
      <c r="S27" s="43" t="s">
        <v>415</v>
      </c>
      <c r="T27" s="42" t="s">
        <v>416</v>
      </c>
      <c r="U27" s="46"/>
      <c r="V27" s="46"/>
      <c r="W27" s="46"/>
      <c r="X27" s="46"/>
      <c r="Y27" s="46"/>
      <c r="Z27" s="46"/>
    </row>
    <row r="28" spans="1:26" s="47" customFormat="1" ht="35.4" customHeight="1">
      <c r="A28" s="43">
        <v>58</v>
      </c>
      <c r="B28" s="43" t="s">
        <v>91</v>
      </c>
      <c r="C28" s="43" t="s">
        <v>414</v>
      </c>
      <c r="D28" s="43" t="s">
        <v>70</v>
      </c>
      <c r="E28" s="43">
        <v>400</v>
      </c>
      <c r="F28" s="43" t="s">
        <v>26</v>
      </c>
      <c r="G28" s="43" t="s">
        <v>29</v>
      </c>
      <c r="H28" s="43" t="s">
        <v>29</v>
      </c>
      <c r="I28" s="43">
        <v>137.5</v>
      </c>
      <c r="J28" s="42" t="s">
        <v>571</v>
      </c>
      <c r="K28" s="43" t="s">
        <v>29</v>
      </c>
      <c r="L28" s="43" t="s">
        <v>29</v>
      </c>
      <c r="M28" s="43" t="s">
        <v>29</v>
      </c>
      <c r="N28" s="43" t="s">
        <v>29</v>
      </c>
      <c r="O28" s="43" t="s">
        <v>29</v>
      </c>
      <c r="P28" s="43" t="s">
        <v>29</v>
      </c>
      <c r="Q28" s="43" t="s">
        <v>175</v>
      </c>
      <c r="R28" s="43" t="s">
        <v>29</v>
      </c>
      <c r="S28" s="43" t="s">
        <v>29</v>
      </c>
      <c r="T28" s="43" t="s">
        <v>29</v>
      </c>
      <c r="U28" s="46"/>
      <c r="V28" s="46"/>
      <c r="W28" s="46"/>
      <c r="X28" s="46"/>
      <c r="Y28" s="46"/>
      <c r="Z28" s="46"/>
    </row>
    <row r="29" spans="1:26" s="47" customFormat="1" ht="14.25" customHeight="1">
      <c r="A29" s="43">
        <v>59</v>
      </c>
      <c r="B29" s="43" t="s">
        <v>69</v>
      </c>
      <c r="C29" s="43" t="s">
        <v>417</v>
      </c>
      <c r="D29" s="43" t="s">
        <v>418</v>
      </c>
      <c r="E29" s="64">
        <f>33000*60</f>
        <v>1980000</v>
      </c>
      <c r="F29" s="56" t="s">
        <v>26</v>
      </c>
      <c r="G29" s="64">
        <f>300/60</f>
        <v>5</v>
      </c>
      <c r="H29" s="63">
        <f>380/60</f>
        <v>6.333333333333333</v>
      </c>
      <c r="I29" s="43" t="s">
        <v>573</v>
      </c>
      <c r="J29" s="43" t="s">
        <v>419</v>
      </c>
      <c r="K29" s="43" t="s">
        <v>29</v>
      </c>
      <c r="L29" s="43" t="s">
        <v>29</v>
      </c>
      <c r="M29" s="43" t="s">
        <v>29</v>
      </c>
      <c r="N29" s="43" t="s">
        <v>29</v>
      </c>
      <c r="O29" s="43" t="s">
        <v>29</v>
      </c>
      <c r="P29" s="43" t="s">
        <v>29</v>
      </c>
      <c r="Q29" s="42" t="s">
        <v>420</v>
      </c>
      <c r="R29" s="43" t="s">
        <v>421</v>
      </c>
      <c r="S29" s="43" t="s">
        <v>29</v>
      </c>
      <c r="T29" s="43" t="s">
        <v>367</v>
      </c>
      <c r="U29" s="46"/>
      <c r="V29" s="46"/>
      <c r="W29" s="46"/>
      <c r="X29" s="46"/>
      <c r="Y29" s="46"/>
      <c r="Z29" s="46"/>
    </row>
    <row r="30" spans="1:26" s="75" customFormat="1" ht="14.25" customHeight="1">
      <c r="A30" s="70">
        <v>60</v>
      </c>
      <c r="B30" s="70" t="s">
        <v>69</v>
      </c>
      <c r="C30" s="70" t="s">
        <v>422</v>
      </c>
      <c r="D30" s="70" t="s">
        <v>29</v>
      </c>
      <c r="E30" s="70">
        <v>1000</v>
      </c>
      <c r="F30" s="70" t="s">
        <v>26</v>
      </c>
      <c r="G30" s="70">
        <f>300/60</f>
        <v>5</v>
      </c>
      <c r="H30" s="70">
        <f>300/60</f>
        <v>5</v>
      </c>
      <c r="I30" s="70" t="s">
        <v>29</v>
      </c>
      <c r="J30" s="70" t="s">
        <v>29</v>
      </c>
      <c r="K30" s="70" t="s">
        <v>29</v>
      </c>
      <c r="L30" s="70" t="s">
        <v>29</v>
      </c>
      <c r="M30" s="70" t="s">
        <v>29</v>
      </c>
      <c r="N30" s="70" t="s">
        <v>29</v>
      </c>
      <c r="O30" s="70" t="s">
        <v>29</v>
      </c>
      <c r="P30" s="70" t="s">
        <v>29</v>
      </c>
      <c r="Q30" s="70" t="s">
        <v>543</v>
      </c>
      <c r="R30" s="70" t="s">
        <v>29</v>
      </c>
      <c r="S30" s="70" t="s">
        <v>544</v>
      </c>
      <c r="T30" s="70" t="s">
        <v>430</v>
      </c>
    </row>
    <row r="31" spans="1:26" s="83" customFormat="1" ht="14.25" customHeight="1">
      <c r="A31" s="80">
        <v>60</v>
      </c>
      <c r="B31" s="80" t="s">
        <v>69</v>
      </c>
      <c r="C31" s="80" t="s">
        <v>423</v>
      </c>
      <c r="D31" s="80" t="s">
        <v>29</v>
      </c>
      <c r="E31" s="80">
        <v>1000</v>
      </c>
      <c r="F31" s="80" t="s">
        <v>26</v>
      </c>
      <c r="G31" s="84">
        <f>320/60</f>
        <v>5.333333333333333</v>
      </c>
      <c r="H31" s="84">
        <f>320/60</f>
        <v>5.333333333333333</v>
      </c>
      <c r="I31" s="80" t="s">
        <v>29</v>
      </c>
      <c r="J31" s="80" t="s">
        <v>29</v>
      </c>
      <c r="K31" s="80" t="s">
        <v>29</v>
      </c>
      <c r="L31" s="80" t="s">
        <v>29</v>
      </c>
      <c r="M31" s="80" t="s">
        <v>29</v>
      </c>
      <c r="N31" s="80" t="s">
        <v>29</v>
      </c>
      <c r="O31" s="80" t="s">
        <v>29</v>
      </c>
      <c r="P31" s="80" t="s">
        <v>29</v>
      </c>
      <c r="Q31" s="80" t="s">
        <v>545</v>
      </c>
      <c r="R31" s="80" t="s">
        <v>546</v>
      </c>
      <c r="S31" s="80" t="s">
        <v>29</v>
      </c>
      <c r="T31" s="80" t="s">
        <v>547</v>
      </c>
    </row>
    <row r="32" spans="1:26" s="74" customFormat="1" ht="13.8" customHeight="1">
      <c r="A32" s="80">
        <v>60</v>
      </c>
      <c r="B32" s="80" t="s">
        <v>91</v>
      </c>
      <c r="C32" s="80" t="s">
        <v>422</v>
      </c>
      <c r="D32" s="80" t="s">
        <v>29</v>
      </c>
      <c r="E32" s="81">
        <v>1500</v>
      </c>
      <c r="F32" s="81" t="s">
        <v>26</v>
      </c>
      <c r="G32" s="81">
        <v>110</v>
      </c>
      <c r="H32" s="81">
        <v>150</v>
      </c>
      <c r="I32" s="80" t="s">
        <v>29</v>
      </c>
      <c r="J32" s="80" t="s">
        <v>29</v>
      </c>
      <c r="K32" s="80" t="s">
        <v>29</v>
      </c>
      <c r="L32" s="80" t="s">
        <v>29</v>
      </c>
      <c r="M32" s="80" t="s">
        <v>29</v>
      </c>
      <c r="N32" s="80" t="s">
        <v>29</v>
      </c>
      <c r="O32" s="80" t="s">
        <v>29</v>
      </c>
      <c r="P32" s="80" t="s">
        <v>29</v>
      </c>
      <c r="Q32" s="80" t="s">
        <v>548</v>
      </c>
      <c r="R32" s="80" t="s">
        <v>546</v>
      </c>
      <c r="S32" s="80" t="s">
        <v>29</v>
      </c>
      <c r="T32" s="80" t="s">
        <v>424</v>
      </c>
    </row>
    <row r="33" spans="1:20" s="47" customFormat="1" ht="14.25" customHeight="1">
      <c r="A33" s="41">
        <v>61</v>
      </c>
      <c r="B33" s="41" t="s">
        <v>425</v>
      </c>
      <c r="C33" s="41" t="s">
        <v>422</v>
      </c>
      <c r="D33" s="41" t="s">
        <v>29</v>
      </c>
      <c r="E33" s="41">
        <v>600</v>
      </c>
      <c r="F33" s="41" t="s">
        <v>26</v>
      </c>
      <c r="G33" s="41">
        <v>10</v>
      </c>
      <c r="H33" s="41">
        <v>10</v>
      </c>
      <c r="I33" s="41" t="s">
        <v>29</v>
      </c>
      <c r="J33" s="41" t="s">
        <v>29</v>
      </c>
      <c r="K33" s="41" t="s">
        <v>29</v>
      </c>
      <c r="L33" s="41" t="s">
        <v>29</v>
      </c>
      <c r="M33" s="41" t="s">
        <v>29</v>
      </c>
      <c r="N33" s="41" t="s">
        <v>29</v>
      </c>
      <c r="O33" s="41" t="s">
        <v>29</v>
      </c>
      <c r="P33" s="41" t="s">
        <v>29</v>
      </c>
      <c r="Q33" s="41" t="s">
        <v>426</v>
      </c>
      <c r="R33" s="80" t="s">
        <v>29</v>
      </c>
      <c r="S33" s="80" t="s">
        <v>29</v>
      </c>
      <c r="T33" s="80" t="s">
        <v>424</v>
      </c>
    </row>
    <row r="34" spans="1:20" s="47" customFormat="1" ht="14.25" customHeight="1">
      <c r="A34" s="41">
        <v>62</v>
      </c>
      <c r="B34" s="41" t="s">
        <v>69</v>
      </c>
      <c r="C34" s="80" t="s">
        <v>427</v>
      </c>
      <c r="D34" s="41" t="s">
        <v>377</v>
      </c>
      <c r="E34" s="8">
        <f>650*60</f>
        <v>39000</v>
      </c>
      <c r="F34" s="8" t="s">
        <v>26</v>
      </c>
      <c r="G34" s="9">
        <f t="shared" ref="G34:H34" si="3">230/60</f>
        <v>3.8333333333333335</v>
      </c>
      <c r="H34" s="9">
        <f t="shared" si="3"/>
        <v>3.8333333333333335</v>
      </c>
      <c r="I34" s="41" t="s">
        <v>29</v>
      </c>
      <c r="J34" s="41" t="s">
        <v>29</v>
      </c>
      <c r="K34" s="41" t="s">
        <v>29</v>
      </c>
      <c r="L34" s="41" t="s">
        <v>29</v>
      </c>
      <c r="M34" s="41" t="s">
        <v>29</v>
      </c>
      <c r="N34" s="41" t="s">
        <v>29</v>
      </c>
      <c r="O34" s="41" t="s">
        <v>29</v>
      </c>
      <c r="P34" s="41" t="s">
        <v>29</v>
      </c>
      <c r="Q34" s="41" t="s">
        <v>428</v>
      </c>
      <c r="R34" s="41" t="s">
        <v>29</v>
      </c>
      <c r="S34" s="41" t="s">
        <v>429</v>
      </c>
      <c r="T34" s="41" t="s">
        <v>430</v>
      </c>
    </row>
    <row r="35" spans="1:20" s="74" customFormat="1" ht="14.25" customHeight="1">
      <c r="A35" s="70">
        <v>63</v>
      </c>
      <c r="B35" s="70" t="s">
        <v>69</v>
      </c>
      <c r="C35" s="70" t="s">
        <v>455</v>
      </c>
      <c r="D35" s="70" t="s">
        <v>92</v>
      </c>
      <c r="E35" s="72">
        <f>6000*70</f>
        <v>420000</v>
      </c>
      <c r="F35" s="70" t="s">
        <v>26</v>
      </c>
      <c r="G35" s="73">
        <f>300/70</f>
        <v>4.2857142857142856</v>
      </c>
      <c r="H35" s="73">
        <f>500/70</f>
        <v>7.1428571428571432</v>
      </c>
      <c r="I35" s="70" t="s">
        <v>29</v>
      </c>
      <c r="J35" s="70" t="s">
        <v>26</v>
      </c>
      <c r="K35" s="70" t="s">
        <v>29</v>
      </c>
      <c r="L35" s="41" t="s">
        <v>29</v>
      </c>
      <c r="M35" s="41" t="s">
        <v>29</v>
      </c>
      <c r="N35" s="41" t="s">
        <v>29</v>
      </c>
      <c r="O35" s="41" t="s">
        <v>29</v>
      </c>
      <c r="P35" s="41" t="s">
        <v>29</v>
      </c>
      <c r="Q35" s="70" t="s">
        <v>456</v>
      </c>
      <c r="R35" s="70" t="s">
        <v>457</v>
      </c>
      <c r="S35" s="70" t="s">
        <v>458</v>
      </c>
      <c r="T35" s="41" t="s">
        <v>430</v>
      </c>
    </row>
    <row r="36" spans="1:20" s="74" customFormat="1" ht="25.8" customHeight="1">
      <c r="A36" s="151">
        <v>63</v>
      </c>
      <c r="B36" s="151" t="s">
        <v>67</v>
      </c>
      <c r="C36" s="151" t="s">
        <v>455</v>
      </c>
      <c r="D36" s="151" t="s">
        <v>92</v>
      </c>
      <c r="E36" s="72">
        <v>30</v>
      </c>
      <c r="F36" s="70" t="s">
        <v>536</v>
      </c>
      <c r="G36" s="151">
        <v>45</v>
      </c>
      <c r="H36" s="151">
        <v>100</v>
      </c>
      <c r="I36" s="151" t="s">
        <v>29</v>
      </c>
      <c r="J36" s="151" t="s">
        <v>26</v>
      </c>
      <c r="K36" s="151" t="s">
        <v>29</v>
      </c>
      <c r="L36" s="151" t="s">
        <v>29</v>
      </c>
      <c r="M36" s="151" t="s">
        <v>29</v>
      </c>
      <c r="N36" s="120" t="s">
        <v>29</v>
      </c>
      <c r="O36" s="120" t="s">
        <v>29</v>
      </c>
      <c r="P36" s="120" t="s">
        <v>29</v>
      </c>
      <c r="Q36" s="151" t="s">
        <v>456</v>
      </c>
      <c r="R36" s="151" t="s">
        <v>457</v>
      </c>
      <c r="S36" s="151" t="s">
        <v>459</v>
      </c>
      <c r="T36" s="120" t="s">
        <v>430</v>
      </c>
    </row>
    <row r="37" spans="1:20" s="75" customFormat="1" ht="27.6" customHeight="1">
      <c r="A37" s="152"/>
      <c r="B37" s="152"/>
      <c r="C37" s="152"/>
      <c r="D37" s="152"/>
      <c r="E37" s="71">
        <v>250</v>
      </c>
      <c r="F37" s="70" t="s">
        <v>537</v>
      </c>
      <c r="G37" s="155"/>
      <c r="H37" s="152"/>
      <c r="I37" s="152"/>
      <c r="J37" s="152"/>
      <c r="K37" s="152"/>
      <c r="L37" s="152"/>
      <c r="M37" s="152"/>
      <c r="N37" s="121"/>
      <c r="O37" s="121"/>
      <c r="P37" s="121"/>
      <c r="Q37" s="152"/>
      <c r="R37" s="152"/>
      <c r="S37" s="152"/>
      <c r="T37" s="121"/>
    </row>
    <row r="38" spans="1:20" s="75" customFormat="1" ht="45.6" customHeight="1">
      <c r="A38" s="70">
        <v>64</v>
      </c>
      <c r="B38" s="70" t="s">
        <v>69</v>
      </c>
      <c r="C38" s="70" t="s">
        <v>364</v>
      </c>
      <c r="D38" s="70" t="s">
        <v>49</v>
      </c>
      <c r="E38" s="88">
        <f>1000*70</f>
        <v>70000</v>
      </c>
      <c r="F38" s="89" t="s">
        <v>26</v>
      </c>
      <c r="G38" s="93">
        <f>250/70</f>
        <v>3.5714285714285716</v>
      </c>
      <c r="H38" s="94">
        <f>450/70</f>
        <v>6.4285714285714288</v>
      </c>
      <c r="I38" s="70" t="s">
        <v>29</v>
      </c>
      <c r="J38" s="70" t="s">
        <v>26</v>
      </c>
      <c r="K38" s="70" t="s">
        <v>29</v>
      </c>
      <c r="L38" s="70" t="s">
        <v>29</v>
      </c>
      <c r="M38" s="70" t="s">
        <v>29</v>
      </c>
      <c r="N38" s="41" t="s">
        <v>29</v>
      </c>
      <c r="O38" s="41" t="s">
        <v>29</v>
      </c>
      <c r="P38" s="41" t="s">
        <v>29</v>
      </c>
      <c r="Q38" s="71" t="s">
        <v>467</v>
      </c>
      <c r="R38" s="71" t="s">
        <v>468</v>
      </c>
      <c r="S38" s="92">
        <v>3000</v>
      </c>
      <c r="T38" s="70" t="s">
        <v>469</v>
      </c>
    </row>
    <row r="39" spans="1:20" s="75" customFormat="1" ht="46.2" customHeight="1">
      <c r="A39" s="70">
        <v>64</v>
      </c>
      <c r="B39" s="70" t="s">
        <v>69</v>
      </c>
      <c r="C39" s="70" t="s">
        <v>464</v>
      </c>
      <c r="D39" s="70" t="s">
        <v>466</v>
      </c>
      <c r="E39" s="88">
        <f>700*70</f>
        <v>49000</v>
      </c>
      <c r="F39" s="89" t="s">
        <v>26</v>
      </c>
      <c r="G39" s="90">
        <f>210/70</f>
        <v>3</v>
      </c>
      <c r="H39" s="94">
        <f>460/70</f>
        <v>6.5714285714285712</v>
      </c>
      <c r="I39" s="70" t="s">
        <v>29</v>
      </c>
      <c r="J39" s="70" t="s">
        <v>26</v>
      </c>
      <c r="K39" s="70" t="s">
        <v>29</v>
      </c>
      <c r="L39" s="70" t="s">
        <v>29</v>
      </c>
      <c r="M39" s="70" t="s">
        <v>29</v>
      </c>
      <c r="N39" s="41" t="s">
        <v>29</v>
      </c>
      <c r="O39" s="41" t="s">
        <v>29</v>
      </c>
      <c r="P39" s="41" t="s">
        <v>29</v>
      </c>
      <c r="Q39" s="71" t="s">
        <v>467</v>
      </c>
      <c r="R39" s="71" t="s">
        <v>468</v>
      </c>
      <c r="S39" s="92">
        <v>3000</v>
      </c>
      <c r="T39" s="70" t="s">
        <v>469</v>
      </c>
    </row>
    <row r="40" spans="1:20" s="74" customFormat="1" ht="44.4" customHeight="1">
      <c r="A40" s="70">
        <v>64</v>
      </c>
      <c r="B40" s="70" t="s">
        <v>69</v>
      </c>
      <c r="C40" s="70" t="s">
        <v>465</v>
      </c>
      <c r="D40" s="70" t="s">
        <v>25</v>
      </c>
      <c r="E40" s="72">
        <f>240*70</f>
        <v>16800</v>
      </c>
      <c r="F40" s="89" t="s">
        <v>26</v>
      </c>
      <c r="G40" s="90">
        <f>350/70</f>
        <v>5</v>
      </c>
      <c r="H40" s="91">
        <f>350/70</f>
        <v>5</v>
      </c>
      <c r="I40" s="70" t="s">
        <v>29</v>
      </c>
      <c r="J40" s="70" t="s">
        <v>26</v>
      </c>
      <c r="K40" s="70" t="s">
        <v>29</v>
      </c>
      <c r="L40" s="70" t="s">
        <v>29</v>
      </c>
      <c r="M40" s="70" t="s">
        <v>29</v>
      </c>
      <c r="N40" s="41" t="s">
        <v>29</v>
      </c>
      <c r="O40" s="41" t="s">
        <v>29</v>
      </c>
      <c r="P40" s="41" t="s">
        <v>29</v>
      </c>
      <c r="Q40" s="71" t="s">
        <v>467</v>
      </c>
      <c r="R40" s="71" t="s">
        <v>468</v>
      </c>
      <c r="S40" s="92">
        <v>3000</v>
      </c>
      <c r="T40" s="70" t="s">
        <v>469</v>
      </c>
    </row>
    <row r="41" spans="1:20" s="74" customFormat="1" ht="46.8" customHeight="1">
      <c r="A41" s="70">
        <v>64</v>
      </c>
      <c r="B41" s="70" t="s">
        <v>67</v>
      </c>
      <c r="C41" s="70" t="s">
        <v>364</v>
      </c>
      <c r="D41" s="70" t="s">
        <v>49</v>
      </c>
      <c r="E41" s="70">
        <v>3000</v>
      </c>
      <c r="F41" s="89" t="s">
        <v>26</v>
      </c>
      <c r="G41" s="76">
        <v>115</v>
      </c>
      <c r="H41" s="70">
        <v>120</v>
      </c>
      <c r="I41" s="70" t="s">
        <v>29</v>
      </c>
      <c r="J41" s="70" t="s">
        <v>26</v>
      </c>
      <c r="K41" s="70" t="s">
        <v>29</v>
      </c>
      <c r="L41" s="70" t="s">
        <v>29</v>
      </c>
      <c r="M41" s="70" t="s">
        <v>29</v>
      </c>
      <c r="N41" s="41" t="s">
        <v>29</v>
      </c>
      <c r="O41" s="41" t="s">
        <v>29</v>
      </c>
      <c r="P41" s="41" t="s">
        <v>29</v>
      </c>
      <c r="Q41" s="71" t="s">
        <v>467</v>
      </c>
      <c r="R41" s="71" t="s">
        <v>468</v>
      </c>
      <c r="S41" s="92">
        <v>3000</v>
      </c>
      <c r="T41" s="70" t="s">
        <v>469</v>
      </c>
    </row>
    <row r="42" spans="1:20" s="74" customFormat="1" ht="47.4" customHeight="1">
      <c r="A42" s="70">
        <v>64</v>
      </c>
      <c r="B42" s="70" t="s">
        <v>67</v>
      </c>
      <c r="C42" s="70" t="s">
        <v>464</v>
      </c>
      <c r="D42" s="70" t="s">
        <v>466</v>
      </c>
      <c r="E42" s="70">
        <v>2000</v>
      </c>
      <c r="F42" s="89" t="s">
        <v>26</v>
      </c>
      <c r="G42" s="70">
        <v>125</v>
      </c>
      <c r="H42" s="70">
        <v>130</v>
      </c>
      <c r="I42" s="70" t="s">
        <v>29</v>
      </c>
      <c r="J42" s="70" t="s">
        <v>26</v>
      </c>
      <c r="K42" s="70" t="s">
        <v>29</v>
      </c>
      <c r="L42" s="70" t="s">
        <v>29</v>
      </c>
      <c r="M42" s="70" t="s">
        <v>29</v>
      </c>
      <c r="N42" s="41" t="s">
        <v>29</v>
      </c>
      <c r="O42" s="41" t="s">
        <v>29</v>
      </c>
      <c r="P42" s="41" t="s">
        <v>29</v>
      </c>
      <c r="Q42" s="71" t="s">
        <v>467</v>
      </c>
      <c r="R42" s="71" t="s">
        <v>468</v>
      </c>
      <c r="S42" s="92">
        <v>3000</v>
      </c>
      <c r="T42" s="70" t="s">
        <v>469</v>
      </c>
    </row>
    <row r="43" spans="1:20" s="74" customFormat="1" ht="41.4" customHeight="1">
      <c r="A43" s="70">
        <v>64</v>
      </c>
      <c r="B43" s="70" t="s">
        <v>67</v>
      </c>
      <c r="C43" s="70" t="s">
        <v>465</v>
      </c>
      <c r="D43" s="70" t="s">
        <v>25</v>
      </c>
      <c r="E43" s="70">
        <v>1000</v>
      </c>
      <c r="F43" s="89" t="s">
        <v>26</v>
      </c>
      <c r="G43" s="70">
        <v>130</v>
      </c>
      <c r="H43" s="70">
        <v>130</v>
      </c>
      <c r="I43" s="70" t="s">
        <v>29</v>
      </c>
      <c r="J43" s="70" t="s">
        <v>26</v>
      </c>
      <c r="K43" s="70" t="s">
        <v>29</v>
      </c>
      <c r="L43" s="70" t="s">
        <v>29</v>
      </c>
      <c r="M43" s="70" t="s">
        <v>29</v>
      </c>
      <c r="N43" s="41" t="s">
        <v>29</v>
      </c>
      <c r="O43" s="41" t="s">
        <v>29</v>
      </c>
      <c r="P43" s="41" t="s">
        <v>29</v>
      </c>
      <c r="Q43" s="71" t="s">
        <v>467</v>
      </c>
      <c r="R43" s="71" t="s">
        <v>468</v>
      </c>
      <c r="S43" s="92">
        <v>3000</v>
      </c>
      <c r="T43" s="70" t="s">
        <v>469</v>
      </c>
    </row>
    <row r="44" spans="1:20" s="74" customFormat="1" ht="37.200000000000003" customHeight="1">
      <c r="A44" s="70">
        <v>65</v>
      </c>
      <c r="B44" s="70" t="s">
        <v>69</v>
      </c>
      <c r="C44" s="70" t="s">
        <v>417</v>
      </c>
      <c r="D44" s="70" t="s">
        <v>472</v>
      </c>
      <c r="E44" s="72">
        <f>4612*70</f>
        <v>322840</v>
      </c>
      <c r="F44" s="70" t="s">
        <v>26</v>
      </c>
      <c r="G44" s="73">
        <f>150/70</f>
        <v>2.1428571428571428</v>
      </c>
      <c r="H44" s="73">
        <f>320/70</f>
        <v>4.5714285714285712</v>
      </c>
      <c r="I44" s="70">
        <v>4.41</v>
      </c>
      <c r="J44" s="42" t="s">
        <v>534</v>
      </c>
      <c r="K44" s="70" t="s">
        <v>29</v>
      </c>
      <c r="L44" s="70" t="s">
        <v>29</v>
      </c>
      <c r="M44" s="70" t="s">
        <v>29</v>
      </c>
      <c r="N44" s="41" t="s">
        <v>29</v>
      </c>
      <c r="O44" s="41" t="s">
        <v>29</v>
      </c>
      <c r="P44" s="41" t="s">
        <v>29</v>
      </c>
      <c r="Q44" s="70" t="s">
        <v>479</v>
      </c>
      <c r="R44" s="70" t="s">
        <v>29</v>
      </c>
      <c r="S44" s="70" t="s">
        <v>29</v>
      </c>
      <c r="T44" s="70" t="s">
        <v>29</v>
      </c>
    </row>
    <row r="45" spans="1:20" s="74" customFormat="1" ht="30" customHeight="1">
      <c r="A45" s="70">
        <v>65</v>
      </c>
      <c r="B45" s="70" t="s">
        <v>67</v>
      </c>
      <c r="C45" s="71" t="s">
        <v>478</v>
      </c>
      <c r="D45" s="70" t="s">
        <v>472</v>
      </c>
      <c r="E45" s="70">
        <v>3000</v>
      </c>
      <c r="F45" s="70" t="s">
        <v>26</v>
      </c>
      <c r="G45" s="70">
        <v>178</v>
      </c>
      <c r="H45" s="70">
        <v>180</v>
      </c>
      <c r="I45" s="70">
        <v>191.5</v>
      </c>
      <c r="J45" s="42" t="s">
        <v>595</v>
      </c>
      <c r="K45" s="70" t="s">
        <v>29</v>
      </c>
      <c r="L45" s="70" t="s">
        <v>29</v>
      </c>
      <c r="M45" s="70" t="s">
        <v>29</v>
      </c>
      <c r="N45" s="41" t="s">
        <v>29</v>
      </c>
      <c r="O45" s="41" t="s">
        <v>29</v>
      </c>
      <c r="P45" s="41" t="s">
        <v>29</v>
      </c>
      <c r="Q45" s="70" t="s">
        <v>480</v>
      </c>
      <c r="R45" s="70" t="s">
        <v>483</v>
      </c>
      <c r="S45" s="70" t="s">
        <v>481</v>
      </c>
      <c r="T45" s="70" t="s">
        <v>482</v>
      </c>
    </row>
    <row r="46" spans="1:20" s="74" customFormat="1" ht="14.25" customHeight="1">
      <c r="A46" s="70">
        <v>66</v>
      </c>
      <c r="B46" s="70" t="s">
        <v>69</v>
      </c>
      <c r="C46" s="71" t="s">
        <v>505</v>
      </c>
      <c r="D46" s="70" t="s">
        <v>377</v>
      </c>
      <c r="E46" s="96">
        <f>600*70</f>
        <v>42000</v>
      </c>
      <c r="F46" s="56" t="s">
        <v>26</v>
      </c>
      <c r="G46" s="57">
        <f>230/70</f>
        <v>3.2857142857142856</v>
      </c>
      <c r="H46" s="57">
        <f>230/70</f>
        <v>3.2857142857142856</v>
      </c>
      <c r="I46" s="70" t="s">
        <v>29</v>
      </c>
      <c r="J46" s="70" t="s">
        <v>26</v>
      </c>
      <c r="K46" s="70" t="s">
        <v>29</v>
      </c>
      <c r="L46" s="70" t="s">
        <v>29</v>
      </c>
      <c r="M46" s="70" t="s">
        <v>29</v>
      </c>
      <c r="N46" s="41" t="s">
        <v>29</v>
      </c>
      <c r="O46" s="41" t="s">
        <v>29</v>
      </c>
      <c r="P46" s="41" t="s">
        <v>29</v>
      </c>
      <c r="Q46" s="70" t="s">
        <v>507</v>
      </c>
      <c r="R46" s="70" t="s">
        <v>29</v>
      </c>
      <c r="S46" s="70" t="s">
        <v>510</v>
      </c>
      <c r="T46" s="70" t="s">
        <v>469</v>
      </c>
    </row>
    <row r="47" spans="1:20" s="74" customFormat="1" ht="14.25" customHeight="1">
      <c r="A47" s="70">
        <v>66</v>
      </c>
      <c r="B47" s="70" t="s">
        <v>69</v>
      </c>
      <c r="C47" s="70" t="s">
        <v>364</v>
      </c>
      <c r="D47" s="70" t="s">
        <v>25</v>
      </c>
      <c r="E47" s="96">
        <f>300*70</f>
        <v>21000</v>
      </c>
      <c r="F47" s="56" t="s">
        <v>26</v>
      </c>
      <c r="G47" s="57">
        <f>250/70</f>
        <v>3.5714285714285716</v>
      </c>
      <c r="H47" s="57">
        <f>250/70</f>
        <v>3.5714285714285716</v>
      </c>
      <c r="I47" s="70" t="s">
        <v>29</v>
      </c>
      <c r="J47" s="70" t="s">
        <v>26</v>
      </c>
      <c r="K47" s="70" t="s">
        <v>29</v>
      </c>
      <c r="L47" s="70" t="s">
        <v>29</v>
      </c>
      <c r="M47" s="70" t="s">
        <v>29</v>
      </c>
      <c r="N47" s="41" t="s">
        <v>29</v>
      </c>
      <c r="O47" s="41" t="s">
        <v>29</v>
      </c>
      <c r="P47" s="41" t="s">
        <v>29</v>
      </c>
      <c r="Q47" s="70" t="s">
        <v>508</v>
      </c>
      <c r="R47" s="70" t="s">
        <v>29</v>
      </c>
      <c r="S47" s="70" t="s">
        <v>29</v>
      </c>
      <c r="T47" s="70" t="s">
        <v>29</v>
      </c>
    </row>
    <row r="48" spans="1:20" s="74" customFormat="1" ht="36.6" customHeight="1">
      <c r="A48" s="70">
        <v>66</v>
      </c>
      <c r="B48" s="70" t="s">
        <v>67</v>
      </c>
      <c r="C48" s="70" t="s">
        <v>506</v>
      </c>
      <c r="D48" s="70" t="s">
        <v>377</v>
      </c>
      <c r="E48" s="96">
        <f>8.949*1000</f>
        <v>8949</v>
      </c>
      <c r="F48" s="56" t="s">
        <v>26</v>
      </c>
      <c r="G48" s="56">
        <v>80</v>
      </c>
      <c r="H48" s="56">
        <v>153</v>
      </c>
      <c r="I48" s="70" t="s">
        <v>29</v>
      </c>
      <c r="J48" s="70" t="s">
        <v>26</v>
      </c>
      <c r="K48" s="70" t="s">
        <v>29</v>
      </c>
      <c r="L48" s="70" t="s">
        <v>29</v>
      </c>
      <c r="M48" s="70" t="s">
        <v>29</v>
      </c>
      <c r="N48" s="41" t="s">
        <v>29</v>
      </c>
      <c r="O48" s="41" t="s">
        <v>29</v>
      </c>
      <c r="P48" s="41" t="s">
        <v>29</v>
      </c>
      <c r="Q48" s="70" t="s">
        <v>509</v>
      </c>
      <c r="R48" s="71" t="s">
        <v>511</v>
      </c>
      <c r="S48" s="70">
        <v>1500</v>
      </c>
      <c r="T48" s="70" t="s">
        <v>29</v>
      </c>
    </row>
    <row r="49" spans="1:20" s="47" customFormat="1" ht="40.200000000000003" customHeight="1">
      <c r="A49" s="70">
        <v>67</v>
      </c>
      <c r="B49" s="70" t="s">
        <v>69</v>
      </c>
      <c r="C49" s="71" t="s">
        <v>564</v>
      </c>
      <c r="D49" s="101" t="s">
        <v>29</v>
      </c>
      <c r="E49" s="101" t="s">
        <v>29</v>
      </c>
      <c r="F49" s="101" t="s">
        <v>29</v>
      </c>
      <c r="G49" s="101" t="s">
        <v>29</v>
      </c>
      <c r="H49" s="101" t="s">
        <v>29</v>
      </c>
      <c r="I49" s="101" t="s">
        <v>29</v>
      </c>
      <c r="J49" s="70" t="s">
        <v>26</v>
      </c>
      <c r="K49" s="101" t="s">
        <v>29</v>
      </c>
      <c r="L49" s="101" t="s">
        <v>29</v>
      </c>
      <c r="M49" s="101" t="s">
        <v>29</v>
      </c>
      <c r="N49" s="101" t="s">
        <v>29</v>
      </c>
      <c r="O49" s="101" t="s">
        <v>29</v>
      </c>
      <c r="P49" s="101" t="s">
        <v>29</v>
      </c>
      <c r="Q49" s="101" t="s">
        <v>29</v>
      </c>
      <c r="R49" s="101" t="s">
        <v>29</v>
      </c>
      <c r="S49" s="101" t="s">
        <v>29</v>
      </c>
      <c r="T49" s="101" t="s">
        <v>29</v>
      </c>
    </row>
    <row r="50" spans="1:20" s="46" customFormat="1" ht="32.4" customHeight="1">
      <c r="A50" s="43">
        <v>68</v>
      </c>
      <c r="B50" s="43" t="s">
        <v>69</v>
      </c>
      <c r="C50" s="43" t="s">
        <v>591</v>
      </c>
      <c r="D50" s="43" t="s">
        <v>466</v>
      </c>
      <c r="E50" s="43">
        <f>6000*60</f>
        <v>360000</v>
      </c>
      <c r="F50" s="43" t="s">
        <v>26</v>
      </c>
      <c r="G50" s="51">
        <f>800/60</f>
        <v>13.333333333333334</v>
      </c>
      <c r="H50" s="51">
        <f>1300/60</f>
        <v>21.666666666666668</v>
      </c>
      <c r="I50" s="43">
        <v>18</v>
      </c>
      <c r="J50" s="42" t="s">
        <v>534</v>
      </c>
      <c r="K50" s="101" t="s">
        <v>29</v>
      </c>
      <c r="L50" s="43" t="s">
        <v>29</v>
      </c>
      <c r="M50" s="43" t="s">
        <v>29</v>
      </c>
      <c r="N50" s="43" t="s">
        <v>29</v>
      </c>
      <c r="O50" s="43" t="s">
        <v>29</v>
      </c>
      <c r="P50" s="43" t="s">
        <v>29</v>
      </c>
      <c r="Q50" s="43" t="s">
        <v>592</v>
      </c>
      <c r="R50" s="43" t="s">
        <v>594</v>
      </c>
      <c r="S50" s="43" t="s">
        <v>29</v>
      </c>
      <c r="T50" s="43" t="s">
        <v>593</v>
      </c>
    </row>
    <row r="51" spans="1:20" s="46" customFormat="1" ht="14.25" customHeight="1">
      <c r="A51" s="43">
        <v>69</v>
      </c>
      <c r="B51" s="43" t="s">
        <v>69</v>
      </c>
      <c r="C51" s="43" t="s">
        <v>417</v>
      </c>
      <c r="D51" s="43" t="s">
        <v>611</v>
      </c>
      <c r="E51" s="43">
        <f>7000*60</f>
        <v>420000</v>
      </c>
      <c r="F51" s="43" t="s">
        <v>26</v>
      </c>
      <c r="G51" s="51">
        <f t="shared" ref="G51:G54" si="4">250/60</f>
        <v>4.166666666666667</v>
      </c>
      <c r="H51" s="51">
        <f t="shared" ref="H51:H54" si="5">400/60</f>
        <v>6.666666666666667</v>
      </c>
      <c r="I51" s="43" t="s">
        <v>29</v>
      </c>
      <c r="J51" s="43" t="s">
        <v>29</v>
      </c>
      <c r="K51" s="43" t="s">
        <v>29</v>
      </c>
      <c r="L51" s="43" t="s">
        <v>29</v>
      </c>
      <c r="M51" s="43" t="s">
        <v>29</v>
      </c>
      <c r="N51" s="43" t="s">
        <v>29</v>
      </c>
      <c r="O51" s="43" t="s">
        <v>29</v>
      </c>
      <c r="P51" s="43" t="s">
        <v>29</v>
      </c>
      <c r="Q51" s="43" t="s">
        <v>612</v>
      </c>
      <c r="R51" s="43" t="s">
        <v>613</v>
      </c>
      <c r="S51" s="43" t="s">
        <v>29</v>
      </c>
      <c r="T51" s="43" t="s">
        <v>614</v>
      </c>
    </row>
    <row r="52" spans="1:20" s="46" customFormat="1" ht="14.25" customHeight="1">
      <c r="A52" s="43">
        <v>69</v>
      </c>
      <c r="B52" s="43" t="s">
        <v>69</v>
      </c>
      <c r="C52" s="43" t="s">
        <v>364</v>
      </c>
      <c r="D52" s="43" t="s">
        <v>70</v>
      </c>
      <c r="E52" s="43">
        <f>3000*60</f>
        <v>180000</v>
      </c>
      <c r="F52" s="43" t="s">
        <v>26</v>
      </c>
      <c r="G52" s="51">
        <f t="shared" si="4"/>
        <v>4.166666666666667</v>
      </c>
      <c r="H52" s="51">
        <f t="shared" si="5"/>
        <v>6.666666666666667</v>
      </c>
      <c r="I52" s="43" t="s">
        <v>29</v>
      </c>
      <c r="J52" s="43" t="s">
        <v>29</v>
      </c>
      <c r="K52" s="43" t="s">
        <v>29</v>
      </c>
      <c r="L52" s="43" t="s">
        <v>29</v>
      </c>
      <c r="M52" s="43" t="s">
        <v>29</v>
      </c>
      <c r="N52" s="43" t="s">
        <v>29</v>
      </c>
      <c r="O52" s="43" t="s">
        <v>29</v>
      </c>
      <c r="P52" s="43" t="s">
        <v>29</v>
      </c>
      <c r="Q52" s="43" t="s">
        <v>612</v>
      </c>
      <c r="R52" s="43" t="s">
        <v>613</v>
      </c>
      <c r="S52" s="43" t="s">
        <v>29</v>
      </c>
      <c r="T52" s="43" t="s">
        <v>614</v>
      </c>
    </row>
    <row r="53" spans="1:20" s="46" customFormat="1" ht="14.25" customHeight="1">
      <c r="A53" s="43">
        <v>69</v>
      </c>
      <c r="B53" s="43" t="s">
        <v>69</v>
      </c>
      <c r="C53" s="43" t="s">
        <v>615</v>
      </c>
      <c r="D53" s="43" t="s">
        <v>70</v>
      </c>
      <c r="E53" s="43">
        <f t="shared" ref="E53:E54" si="6">1000*60</f>
        <v>60000</v>
      </c>
      <c r="F53" s="43" t="s">
        <v>26</v>
      </c>
      <c r="G53" s="51">
        <f t="shared" si="4"/>
        <v>4.166666666666667</v>
      </c>
      <c r="H53" s="51">
        <f t="shared" si="5"/>
        <v>6.666666666666667</v>
      </c>
      <c r="I53" s="43" t="s">
        <v>29</v>
      </c>
      <c r="J53" s="43" t="s">
        <v>29</v>
      </c>
      <c r="K53" s="43" t="s">
        <v>29</v>
      </c>
      <c r="L53" s="43" t="s">
        <v>29</v>
      </c>
      <c r="M53" s="43" t="s">
        <v>29</v>
      </c>
      <c r="N53" s="43" t="s">
        <v>29</v>
      </c>
      <c r="O53" s="43" t="s">
        <v>29</v>
      </c>
      <c r="P53" s="43" t="s">
        <v>29</v>
      </c>
      <c r="Q53" s="43" t="s">
        <v>612</v>
      </c>
      <c r="R53" s="43" t="s">
        <v>613</v>
      </c>
      <c r="S53" s="43" t="s">
        <v>29</v>
      </c>
      <c r="T53" s="43" t="s">
        <v>614</v>
      </c>
    </row>
    <row r="54" spans="1:20" s="46" customFormat="1" ht="14.25" customHeight="1">
      <c r="A54" s="43">
        <v>69</v>
      </c>
      <c r="B54" s="43" t="s">
        <v>69</v>
      </c>
      <c r="C54" s="43" t="s">
        <v>616</v>
      </c>
      <c r="D54" s="43" t="s">
        <v>70</v>
      </c>
      <c r="E54" s="43">
        <f t="shared" si="6"/>
        <v>60000</v>
      </c>
      <c r="F54" s="43" t="s">
        <v>26</v>
      </c>
      <c r="G54" s="51">
        <f t="shared" si="4"/>
        <v>4.166666666666667</v>
      </c>
      <c r="H54" s="51">
        <f t="shared" si="5"/>
        <v>6.666666666666667</v>
      </c>
      <c r="I54" s="43" t="s">
        <v>29</v>
      </c>
      <c r="J54" s="43" t="s">
        <v>29</v>
      </c>
      <c r="K54" s="43" t="s">
        <v>29</v>
      </c>
      <c r="L54" s="43" t="s">
        <v>29</v>
      </c>
      <c r="M54" s="43" t="s">
        <v>29</v>
      </c>
      <c r="N54" s="43" t="s">
        <v>29</v>
      </c>
      <c r="O54" s="43" t="s">
        <v>29</v>
      </c>
      <c r="P54" s="43" t="s">
        <v>29</v>
      </c>
      <c r="Q54" s="43" t="s">
        <v>612</v>
      </c>
      <c r="R54" s="43" t="s">
        <v>613</v>
      </c>
      <c r="S54" s="43" t="s">
        <v>29</v>
      </c>
      <c r="T54" s="43" t="s">
        <v>614</v>
      </c>
    </row>
    <row r="55" spans="1:20" s="46" customFormat="1" ht="14.25" customHeight="1">
      <c r="A55" s="43">
        <v>69</v>
      </c>
      <c r="B55" s="43" t="s">
        <v>67</v>
      </c>
      <c r="C55" s="43" t="s">
        <v>617</v>
      </c>
      <c r="D55" s="43" t="s">
        <v>68</v>
      </c>
      <c r="E55" s="43">
        <f>30*1000</f>
        <v>30000</v>
      </c>
      <c r="F55" s="43" t="s">
        <v>26</v>
      </c>
      <c r="G55" s="43">
        <v>100</v>
      </c>
      <c r="H55" s="43">
        <v>150</v>
      </c>
      <c r="I55" s="43" t="s">
        <v>29</v>
      </c>
      <c r="J55" s="43" t="s">
        <v>29</v>
      </c>
      <c r="K55" s="43" t="s">
        <v>29</v>
      </c>
      <c r="L55" s="43" t="s">
        <v>29</v>
      </c>
      <c r="M55" s="43" t="s">
        <v>29</v>
      </c>
      <c r="N55" s="43" t="s">
        <v>29</v>
      </c>
      <c r="O55" s="43" t="s">
        <v>29</v>
      </c>
      <c r="P55" s="43" t="s">
        <v>29</v>
      </c>
      <c r="Q55" s="43" t="s">
        <v>29</v>
      </c>
      <c r="R55" s="43" t="s">
        <v>29</v>
      </c>
      <c r="S55" s="43" t="s">
        <v>29</v>
      </c>
      <c r="T55" s="43" t="s">
        <v>29</v>
      </c>
    </row>
    <row r="56" spans="1:20" s="46" customFormat="1" ht="14.25" customHeight="1">
      <c r="A56" s="43">
        <v>69</v>
      </c>
      <c r="B56" s="43" t="s">
        <v>67</v>
      </c>
      <c r="C56" s="43" t="s">
        <v>618</v>
      </c>
      <c r="D56" s="43" t="s">
        <v>472</v>
      </c>
      <c r="E56" s="43">
        <f>18*1000</f>
        <v>18000</v>
      </c>
      <c r="F56" s="43" t="s">
        <v>26</v>
      </c>
      <c r="G56" s="43">
        <v>100</v>
      </c>
      <c r="H56" s="43">
        <v>150</v>
      </c>
      <c r="I56" s="43" t="s">
        <v>29</v>
      </c>
      <c r="J56" s="43" t="s">
        <v>29</v>
      </c>
      <c r="K56" s="43" t="s">
        <v>29</v>
      </c>
      <c r="L56" s="43" t="s">
        <v>29</v>
      </c>
      <c r="M56" s="43" t="s">
        <v>29</v>
      </c>
      <c r="N56" s="43" t="s">
        <v>29</v>
      </c>
      <c r="O56" s="43" t="s">
        <v>29</v>
      </c>
      <c r="P56" s="43" t="s">
        <v>29</v>
      </c>
      <c r="Q56" s="43" t="s">
        <v>29</v>
      </c>
      <c r="R56" s="43" t="s">
        <v>29</v>
      </c>
      <c r="S56" s="43" t="s">
        <v>29</v>
      </c>
      <c r="T56" s="43" t="s">
        <v>29</v>
      </c>
    </row>
    <row r="57" spans="1:20" s="46" customFormat="1" ht="52.8" customHeight="1">
      <c r="A57" s="43">
        <v>69</v>
      </c>
      <c r="B57" s="43" t="s">
        <v>71</v>
      </c>
      <c r="C57" s="43" t="s">
        <v>616</v>
      </c>
      <c r="D57" s="43" t="s">
        <v>70</v>
      </c>
      <c r="E57" s="43">
        <f>20*1000</f>
        <v>20000</v>
      </c>
      <c r="F57" s="43" t="s">
        <v>26</v>
      </c>
      <c r="G57" s="43">
        <f>AVERAGE(12,42)</f>
        <v>27</v>
      </c>
      <c r="H57" s="43">
        <f>AVERAGE(15,45)</f>
        <v>30</v>
      </c>
      <c r="I57" s="43" t="s">
        <v>29</v>
      </c>
      <c r="J57" s="43" t="s">
        <v>29</v>
      </c>
      <c r="K57" s="43" t="s">
        <v>29</v>
      </c>
      <c r="L57" s="43" t="s">
        <v>29</v>
      </c>
      <c r="M57" s="43" t="s">
        <v>29</v>
      </c>
      <c r="N57" s="43" t="s">
        <v>29</v>
      </c>
      <c r="O57" s="43" t="s">
        <v>29</v>
      </c>
      <c r="P57" s="43" t="s">
        <v>29</v>
      </c>
      <c r="Q57" s="43" t="s">
        <v>29</v>
      </c>
      <c r="R57" s="42" t="s">
        <v>619</v>
      </c>
      <c r="S57" s="43" t="s">
        <v>620</v>
      </c>
      <c r="T57" s="43" t="s">
        <v>621</v>
      </c>
    </row>
    <row r="58" spans="1:20" ht="14.25" customHeight="1">
      <c r="A58" s="1">
        <v>70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>
      <c r="A59" s="1">
        <v>71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8" customHeight="1">
      <c r="A60" s="1">
        <v>72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59"/>
      <c r="R60" s="1"/>
      <c r="S60" s="1"/>
      <c r="T60" s="1"/>
    </row>
    <row r="61" spans="1:20" s="46" customFormat="1" ht="38.4" customHeight="1">
      <c r="A61" s="43">
        <v>73</v>
      </c>
      <c r="B61" s="43" t="s">
        <v>67</v>
      </c>
      <c r="C61" s="43" t="s">
        <v>632</v>
      </c>
      <c r="D61" s="42" t="s">
        <v>634</v>
      </c>
      <c r="E61" s="43" t="s">
        <v>29</v>
      </c>
      <c r="F61" s="43" t="s">
        <v>29</v>
      </c>
      <c r="G61" s="43">
        <v>220</v>
      </c>
      <c r="H61" s="43">
        <v>220</v>
      </c>
      <c r="I61" s="43" t="s">
        <v>29</v>
      </c>
      <c r="J61" s="43" t="s">
        <v>29</v>
      </c>
      <c r="K61" s="43" t="s">
        <v>29</v>
      </c>
      <c r="L61" s="43" t="s">
        <v>29</v>
      </c>
      <c r="M61" s="43" t="s">
        <v>29</v>
      </c>
      <c r="N61" s="43" t="s">
        <v>29</v>
      </c>
      <c r="O61" s="43" t="s">
        <v>29</v>
      </c>
      <c r="P61" s="108" t="s">
        <v>29</v>
      </c>
      <c r="Q61" s="160"/>
      <c r="R61" s="109" t="s">
        <v>636</v>
      </c>
      <c r="S61" s="43" t="s">
        <v>637</v>
      </c>
      <c r="T61" s="43" t="s">
        <v>29</v>
      </c>
    </row>
    <row r="62" spans="1:20" s="46" customFormat="1" ht="14.25" customHeight="1">
      <c r="A62" s="43">
        <v>73</v>
      </c>
      <c r="B62" s="43" t="s">
        <v>141</v>
      </c>
      <c r="C62" s="43" t="s">
        <v>633</v>
      </c>
      <c r="D62" s="43" t="s">
        <v>29</v>
      </c>
      <c r="E62" s="43" t="s">
        <v>29</v>
      </c>
      <c r="F62" s="43" t="s">
        <v>29</v>
      </c>
      <c r="G62" s="43">
        <v>120</v>
      </c>
      <c r="H62" s="43">
        <v>120</v>
      </c>
      <c r="I62" s="43" t="s">
        <v>29</v>
      </c>
      <c r="J62" s="43" t="s">
        <v>29</v>
      </c>
      <c r="K62" s="43" t="s">
        <v>29</v>
      </c>
      <c r="L62" s="43" t="s">
        <v>29</v>
      </c>
      <c r="M62" s="43" t="s">
        <v>29</v>
      </c>
      <c r="N62" s="43" t="s">
        <v>29</v>
      </c>
      <c r="O62" s="43" t="s">
        <v>29</v>
      </c>
      <c r="P62" s="108" t="s">
        <v>29</v>
      </c>
      <c r="Q62" s="160"/>
      <c r="R62" s="109" t="s">
        <v>636</v>
      </c>
      <c r="S62" s="43" t="s">
        <v>637</v>
      </c>
      <c r="T62" s="43" t="s">
        <v>29</v>
      </c>
    </row>
    <row r="63" spans="1:20" s="46" customFormat="1" ht="14.25" customHeight="1">
      <c r="A63" s="43">
        <v>73</v>
      </c>
      <c r="B63" s="43" t="s">
        <v>625</v>
      </c>
      <c r="C63" s="43" t="s">
        <v>633</v>
      </c>
      <c r="D63" s="43" t="s">
        <v>29</v>
      </c>
      <c r="E63" s="43" t="s">
        <v>29</v>
      </c>
      <c r="F63" s="43" t="s">
        <v>29</v>
      </c>
      <c r="G63" s="43">
        <v>120</v>
      </c>
      <c r="H63" s="43">
        <v>120</v>
      </c>
      <c r="I63" s="43" t="s">
        <v>29</v>
      </c>
      <c r="J63" s="43" t="s">
        <v>29</v>
      </c>
      <c r="K63" s="43" t="s">
        <v>29</v>
      </c>
      <c r="L63" s="43" t="s">
        <v>29</v>
      </c>
      <c r="M63" s="43" t="s">
        <v>29</v>
      </c>
      <c r="N63" s="43" t="s">
        <v>29</v>
      </c>
      <c r="O63" s="43" t="s">
        <v>29</v>
      </c>
      <c r="P63" s="108" t="s">
        <v>29</v>
      </c>
      <c r="Q63" s="160"/>
      <c r="R63" s="109" t="s">
        <v>636</v>
      </c>
      <c r="S63" s="43" t="s">
        <v>637</v>
      </c>
      <c r="T63" s="43" t="s">
        <v>29</v>
      </c>
    </row>
    <row r="64" spans="1:20" s="46" customFormat="1" ht="14.25" customHeight="1">
      <c r="A64" s="43">
        <v>73</v>
      </c>
      <c r="B64" s="43" t="s">
        <v>144</v>
      </c>
      <c r="C64" s="43" t="s">
        <v>633</v>
      </c>
      <c r="D64" s="43" t="s">
        <v>29</v>
      </c>
      <c r="E64" s="43" t="s">
        <v>29</v>
      </c>
      <c r="F64" s="43" t="s">
        <v>29</v>
      </c>
      <c r="G64" s="43" t="s">
        <v>635</v>
      </c>
      <c r="H64" s="43" t="s">
        <v>635</v>
      </c>
      <c r="I64" s="43" t="s">
        <v>29</v>
      </c>
      <c r="J64" s="43" t="s">
        <v>29</v>
      </c>
      <c r="K64" s="43" t="s">
        <v>29</v>
      </c>
      <c r="L64" s="43" t="s">
        <v>29</v>
      </c>
      <c r="M64" s="43" t="s">
        <v>29</v>
      </c>
      <c r="N64" s="43" t="s">
        <v>29</v>
      </c>
      <c r="O64" s="43" t="s">
        <v>29</v>
      </c>
      <c r="P64" s="108" t="s">
        <v>29</v>
      </c>
      <c r="Q64" s="160"/>
      <c r="R64" s="109" t="s">
        <v>636</v>
      </c>
      <c r="S64" s="43" t="s">
        <v>637</v>
      </c>
      <c r="T64" s="43" t="s">
        <v>29</v>
      </c>
    </row>
    <row r="65" spans="1:20" s="46" customFormat="1" ht="45" customHeight="1">
      <c r="A65" s="43">
        <v>74</v>
      </c>
      <c r="B65" s="43" t="s">
        <v>69</v>
      </c>
      <c r="C65" s="42" t="s">
        <v>646</v>
      </c>
      <c r="D65" s="43" t="s">
        <v>97</v>
      </c>
      <c r="E65" s="43">
        <v>10</v>
      </c>
      <c r="F65" s="43" t="s">
        <v>648</v>
      </c>
      <c r="G65" s="51">
        <f>40/60</f>
        <v>0.66666666666666663</v>
      </c>
      <c r="H65" s="51">
        <f>40/60</f>
        <v>0.66666666666666663</v>
      </c>
      <c r="I65" s="43" t="s">
        <v>29</v>
      </c>
      <c r="J65" s="43" t="s">
        <v>29</v>
      </c>
      <c r="K65" s="43" t="s">
        <v>29</v>
      </c>
      <c r="L65" s="43" t="s">
        <v>29</v>
      </c>
      <c r="M65" s="43" t="s">
        <v>29</v>
      </c>
      <c r="N65" s="43" t="s">
        <v>29</v>
      </c>
      <c r="O65" s="43" t="s">
        <v>29</v>
      </c>
      <c r="P65" s="108" t="s">
        <v>29</v>
      </c>
      <c r="Q65" s="111" t="s">
        <v>650</v>
      </c>
      <c r="R65" s="43" t="s">
        <v>653</v>
      </c>
      <c r="S65" s="43" t="s">
        <v>29</v>
      </c>
      <c r="T65" s="43"/>
    </row>
    <row r="66" spans="1:20" s="46" customFormat="1" ht="14.25" customHeight="1">
      <c r="A66" s="43">
        <v>74</v>
      </c>
      <c r="B66" s="43" t="s">
        <v>69</v>
      </c>
      <c r="C66" s="43" t="s">
        <v>645</v>
      </c>
      <c r="D66" s="43" t="s">
        <v>377</v>
      </c>
      <c r="E66" s="43">
        <v>21</v>
      </c>
      <c r="F66" s="43" t="s">
        <v>26</v>
      </c>
      <c r="G66" s="51">
        <f>40/60</f>
        <v>0.66666666666666663</v>
      </c>
      <c r="H66" s="51">
        <f>40/60</f>
        <v>0.66666666666666663</v>
      </c>
      <c r="I66" s="43" t="s">
        <v>29</v>
      </c>
      <c r="J66" s="43" t="s">
        <v>29</v>
      </c>
      <c r="K66" s="43" t="s">
        <v>29</v>
      </c>
      <c r="L66" s="43" t="s">
        <v>29</v>
      </c>
      <c r="M66" s="43" t="s">
        <v>29</v>
      </c>
      <c r="N66" s="43" t="s">
        <v>29</v>
      </c>
      <c r="O66" s="43" t="s">
        <v>29</v>
      </c>
      <c r="P66" s="108" t="s">
        <v>29</v>
      </c>
      <c r="Q66" s="43" t="s">
        <v>651</v>
      </c>
      <c r="R66" s="43" t="s">
        <v>654</v>
      </c>
      <c r="S66" s="43" t="s">
        <v>29</v>
      </c>
      <c r="T66" s="43" t="s">
        <v>656</v>
      </c>
    </row>
    <row r="67" spans="1:20" s="46" customFormat="1" ht="34.799999999999997" customHeight="1">
      <c r="A67" s="43">
        <v>74</v>
      </c>
      <c r="B67" s="43" t="s">
        <v>69</v>
      </c>
      <c r="C67" s="43" t="s">
        <v>414</v>
      </c>
      <c r="D67" s="43" t="s">
        <v>647</v>
      </c>
      <c r="E67" s="43">
        <v>2100</v>
      </c>
      <c r="F67" s="43" t="s">
        <v>26</v>
      </c>
      <c r="G67" s="42" t="s">
        <v>649</v>
      </c>
      <c r="H67" s="42" t="s">
        <v>649</v>
      </c>
      <c r="I67" s="43" t="s">
        <v>29</v>
      </c>
      <c r="J67" s="43" t="s">
        <v>29</v>
      </c>
      <c r="K67" s="43" t="s">
        <v>29</v>
      </c>
      <c r="L67" s="43" t="s">
        <v>29</v>
      </c>
      <c r="M67" s="43" t="s">
        <v>29</v>
      </c>
      <c r="N67" s="43" t="s">
        <v>29</v>
      </c>
      <c r="O67" s="43" t="s">
        <v>29</v>
      </c>
      <c r="P67" s="108" t="s">
        <v>29</v>
      </c>
      <c r="Q67" s="43" t="s">
        <v>652</v>
      </c>
      <c r="R67" s="43" t="s">
        <v>655</v>
      </c>
      <c r="S67" s="43" t="s">
        <v>29</v>
      </c>
      <c r="T67" s="43" t="s">
        <v>656</v>
      </c>
    </row>
    <row r="68" spans="1:20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</sheetData>
  <mergeCells count="18">
    <mergeCell ref="H36:H37"/>
    <mergeCell ref="A36:A37"/>
    <mergeCell ref="B36:B37"/>
    <mergeCell ref="C36:C37"/>
    <mergeCell ref="D36:D37"/>
    <mergeCell ref="G36:G37"/>
    <mergeCell ref="T36:T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</mergeCells>
  <phoneticPr fontId="17" type="noConversion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6"/>
  <sheetViews>
    <sheetView workbookViewId="0">
      <pane ySplit="1" topLeftCell="A12" activePane="bottomLeft" state="frozen"/>
      <selection pane="bottomLeft" activeCell="H31" sqref="H31"/>
    </sheetView>
  </sheetViews>
  <sheetFormatPr defaultColWidth="12.6640625" defaultRowHeight="15" customHeight="1"/>
  <cols>
    <col min="3" max="3" width="22.77734375" customWidth="1"/>
    <col min="8" max="8" width="14.77734375" customWidth="1"/>
    <col min="9" max="9" width="15" customWidth="1"/>
  </cols>
  <sheetData>
    <row r="1" spans="1:9" ht="70.8" customHeight="1">
      <c r="A1" s="2" t="s">
        <v>99</v>
      </c>
      <c r="B1" s="2" t="s">
        <v>100</v>
      </c>
      <c r="C1" s="2" t="s">
        <v>101</v>
      </c>
      <c r="D1" s="2" t="s">
        <v>102</v>
      </c>
      <c r="E1" s="10" t="s">
        <v>104</v>
      </c>
      <c r="F1" s="2" t="s">
        <v>105</v>
      </c>
      <c r="G1" s="10" t="s">
        <v>350</v>
      </c>
      <c r="H1" s="10" t="s">
        <v>351</v>
      </c>
      <c r="I1" s="2" t="s">
        <v>352</v>
      </c>
    </row>
    <row r="2" spans="1:9" ht="14.4">
      <c r="A2" s="3">
        <v>53</v>
      </c>
      <c r="B2" s="3" t="s">
        <v>69</v>
      </c>
      <c r="C2" s="3" t="s">
        <v>130</v>
      </c>
      <c r="D2" s="3" t="s">
        <v>131</v>
      </c>
      <c r="E2" s="3">
        <f>500*60</f>
        <v>30000</v>
      </c>
      <c r="F2" s="3" t="s">
        <v>26</v>
      </c>
      <c r="G2" s="11">
        <v>4.583333333333333</v>
      </c>
      <c r="H2" s="12">
        <f t="shared" ref="H2:H8" si="0">E2*G2</f>
        <v>137500</v>
      </c>
      <c r="I2" s="156">
        <v>1</v>
      </c>
    </row>
    <row r="3" spans="1:9" ht="14.4">
      <c r="A3" s="3">
        <v>53</v>
      </c>
      <c r="B3" s="3" t="s">
        <v>69</v>
      </c>
      <c r="C3" s="3" t="s">
        <v>135</v>
      </c>
      <c r="D3" s="3" t="s">
        <v>131</v>
      </c>
      <c r="E3" s="13">
        <v>27000</v>
      </c>
      <c r="F3" s="14" t="s">
        <v>26</v>
      </c>
      <c r="G3" s="11">
        <v>4.583333333333333</v>
      </c>
      <c r="H3" s="11">
        <f t="shared" si="0"/>
        <v>123749.99999999999</v>
      </c>
      <c r="I3" s="157"/>
    </row>
    <row r="4" spans="1:9" ht="14.4">
      <c r="A4" s="3">
        <v>53</v>
      </c>
      <c r="B4" s="3" t="s">
        <v>69</v>
      </c>
      <c r="C4" s="14" t="s">
        <v>137</v>
      </c>
      <c r="D4" s="3" t="s">
        <v>131</v>
      </c>
      <c r="E4" s="13">
        <v>9000</v>
      </c>
      <c r="F4" s="14" t="s">
        <v>26</v>
      </c>
      <c r="G4" s="15">
        <v>4.5833333333333304</v>
      </c>
      <c r="H4" s="11">
        <f t="shared" si="0"/>
        <v>41249.999999999971</v>
      </c>
      <c r="I4" s="157"/>
    </row>
    <row r="5" spans="1:9" ht="14.4">
      <c r="A5" s="3">
        <v>53</v>
      </c>
      <c r="B5" s="14" t="s">
        <v>67</v>
      </c>
      <c r="C5" s="3" t="s">
        <v>130</v>
      </c>
      <c r="D5" s="3" t="s">
        <v>131</v>
      </c>
      <c r="E5" s="14">
        <v>50</v>
      </c>
      <c r="F5" s="14" t="s">
        <v>26</v>
      </c>
      <c r="G5" s="15">
        <v>120</v>
      </c>
      <c r="H5" s="12">
        <f t="shared" si="0"/>
        <v>6000</v>
      </c>
      <c r="I5" s="157"/>
    </row>
    <row r="6" spans="1:9" ht="14.4">
      <c r="A6" s="3">
        <v>53</v>
      </c>
      <c r="B6" s="3" t="s">
        <v>141</v>
      </c>
      <c r="C6" s="3" t="s">
        <v>142</v>
      </c>
      <c r="D6" s="3" t="s">
        <v>131</v>
      </c>
      <c r="E6" s="14">
        <v>100</v>
      </c>
      <c r="F6" s="14" t="s">
        <v>143</v>
      </c>
      <c r="G6" s="15">
        <v>50</v>
      </c>
      <c r="H6" s="12">
        <f t="shared" si="0"/>
        <v>5000</v>
      </c>
      <c r="I6" s="157"/>
    </row>
    <row r="7" spans="1:9" ht="14.4">
      <c r="A7" s="3">
        <v>53</v>
      </c>
      <c r="B7" s="3" t="s">
        <v>144</v>
      </c>
      <c r="C7" s="3" t="s">
        <v>142</v>
      </c>
      <c r="D7" s="3" t="s">
        <v>131</v>
      </c>
      <c r="E7" s="14">
        <v>35</v>
      </c>
      <c r="F7" s="14" t="s">
        <v>143</v>
      </c>
      <c r="G7" s="15">
        <v>100</v>
      </c>
      <c r="H7" s="12">
        <f t="shared" si="0"/>
        <v>3500</v>
      </c>
      <c r="I7" s="158"/>
    </row>
    <row r="8" spans="1:9" ht="41.4">
      <c r="A8" s="5">
        <v>54</v>
      </c>
      <c r="B8" s="5" t="s">
        <v>69</v>
      </c>
      <c r="C8" s="4" t="s">
        <v>145</v>
      </c>
      <c r="D8" s="5" t="s">
        <v>131</v>
      </c>
      <c r="E8" s="13">
        <v>6000</v>
      </c>
      <c r="F8" s="14" t="s">
        <v>26</v>
      </c>
      <c r="G8" s="11">
        <v>4.75</v>
      </c>
      <c r="H8" s="11">
        <f t="shared" si="0"/>
        <v>28500</v>
      </c>
      <c r="I8" s="156">
        <v>1</v>
      </c>
    </row>
    <row r="9" spans="1:9" ht="41.4">
      <c r="A9" s="5">
        <v>54</v>
      </c>
      <c r="B9" s="5" t="s">
        <v>67</v>
      </c>
      <c r="C9" s="4" t="s">
        <v>145</v>
      </c>
      <c r="D9" s="5" t="s">
        <v>131</v>
      </c>
      <c r="E9" s="14">
        <v>500</v>
      </c>
      <c r="F9" s="14" t="s">
        <v>26</v>
      </c>
      <c r="G9" s="12">
        <v>57.5</v>
      </c>
      <c r="H9" s="12">
        <v>28750</v>
      </c>
      <c r="I9" s="158"/>
    </row>
    <row r="10" spans="1:9" ht="14.4">
      <c r="A10" s="5">
        <v>55</v>
      </c>
      <c r="B10" s="5" t="s">
        <v>69</v>
      </c>
      <c r="C10" s="4" t="s">
        <v>148</v>
      </c>
      <c r="D10" s="5" t="s">
        <v>131</v>
      </c>
      <c r="E10" s="5">
        <v>130</v>
      </c>
      <c r="F10" s="14" t="s">
        <v>26</v>
      </c>
      <c r="G10" s="11">
        <v>4.25</v>
      </c>
      <c r="H10" s="11">
        <f t="shared" ref="H10:H24" si="1">E10*G10</f>
        <v>552.5</v>
      </c>
      <c r="I10" s="156">
        <v>1</v>
      </c>
    </row>
    <row r="11" spans="1:9" ht="27.6">
      <c r="A11" s="5">
        <v>55</v>
      </c>
      <c r="B11" s="5" t="s">
        <v>69</v>
      </c>
      <c r="C11" s="4" t="s">
        <v>151</v>
      </c>
      <c r="D11" s="5" t="s">
        <v>131</v>
      </c>
      <c r="E11" s="14">
        <v>80</v>
      </c>
      <c r="F11" s="14" t="s">
        <v>26</v>
      </c>
      <c r="G11" s="11">
        <v>4.25</v>
      </c>
      <c r="H11" s="11">
        <f t="shared" si="1"/>
        <v>340</v>
      </c>
      <c r="I11" s="157"/>
    </row>
    <row r="12" spans="1:9" ht="14.4">
      <c r="A12" s="5">
        <v>55</v>
      </c>
      <c r="B12" s="5" t="s">
        <v>69</v>
      </c>
      <c r="C12" s="4" t="s">
        <v>166</v>
      </c>
      <c r="D12" s="5" t="s">
        <v>131</v>
      </c>
      <c r="E12" s="14">
        <v>30000</v>
      </c>
      <c r="F12" s="14" t="s">
        <v>26</v>
      </c>
      <c r="G12" s="11">
        <v>4.25</v>
      </c>
      <c r="H12" s="11">
        <f t="shared" si="1"/>
        <v>127500</v>
      </c>
      <c r="I12" s="157"/>
    </row>
    <row r="13" spans="1:9" ht="14.4">
      <c r="A13" s="5">
        <v>55</v>
      </c>
      <c r="B13" s="5" t="s">
        <v>91</v>
      </c>
      <c r="C13" s="5" t="s">
        <v>193</v>
      </c>
      <c r="D13" s="5" t="s">
        <v>131</v>
      </c>
      <c r="E13" s="5">
        <v>2000</v>
      </c>
      <c r="F13" s="14" t="s">
        <v>26</v>
      </c>
      <c r="G13" s="15">
        <v>120</v>
      </c>
      <c r="H13" s="11">
        <f t="shared" si="1"/>
        <v>240000</v>
      </c>
      <c r="I13" s="157"/>
    </row>
    <row r="14" spans="1:9" ht="14.4">
      <c r="A14" s="5">
        <v>55</v>
      </c>
      <c r="B14" s="5" t="s">
        <v>91</v>
      </c>
      <c r="C14" s="5" t="s">
        <v>194</v>
      </c>
      <c r="D14" s="5" t="s">
        <v>131</v>
      </c>
      <c r="E14" s="5">
        <v>1500</v>
      </c>
      <c r="F14" s="14" t="s">
        <v>26</v>
      </c>
      <c r="G14" s="15">
        <v>120</v>
      </c>
      <c r="H14" s="11">
        <f t="shared" si="1"/>
        <v>180000</v>
      </c>
      <c r="I14" s="157"/>
    </row>
    <row r="15" spans="1:9" ht="14.4">
      <c r="A15" s="5">
        <v>55</v>
      </c>
      <c r="B15" s="5" t="s">
        <v>91</v>
      </c>
      <c r="C15" s="5" t="s">
        <v>201</v>
      </c>
      <c r="D15" s="5" t="s">
        <v>131</v>
      </c>
      <c r="E15" s="5">
        <v>2000</v>
      </c>
      <c r="F15" s="14" t="s">
        <v>26</v>
      </c>
      <c r="G15" s="15">
        <v>120</v>
      </c>
      <c r="H15" s="11">
        <f t="shared" si="1"/>
        <v>240000</v>
      </c>
      <c r="I15" s="158"/>
    </row>
    <row r="16" spans="1:9" ht="14.4">
      <c r="A16" s="5">
        <v>56</v>
      </c>
      <c r="B16" s="5" t="s">
        <v>69</v>
      </c>
      <c r="C16" s="4" t="s">
        <v>249</v>
      </c>
      <c r="D16" s="4" t="s">
        <v>131</v>
      </c>
      <c r="E16" s="5">
        <f>300*60</f>
        <v>18000</v>
      </c>
      <c r="F16" s="5" t="s">
        <v>26</v>
      </c>
      <c r="G16" s="15">
        <v>14.33</v>
      </c>
      <c r="H16" s="12">
        <f t="shared" si="1"/>
        <v>257940</v>
      </c>
      <c r="I16" s="156">
        <v>1</v>
      </c>
    </row>
    <row r="17" spans="1:9" ht="14.4">
      <c r="A17" s="5">
        <v>56</v>
      </c>
      <c r="B17" s="5" t="s">
        <v>69</v>
      </c>
      <c r="C17" s="4" t="s">
        <v>251</v>
      </c>
      <c r="D17" s="4" t="s">
        <v>131</v>
      </c>
      <c r="E17" s="5">
        <f>80*60</f>
        <v>4800</v>
      </c>
      <c r="F17" s="5" t="s">
        <v>26</v>
      </c>
      <c r="G17" s="16">
        <v>18</v>
      </c>
      <c r="H17" s="12">
        <f t="shared" si="1"/>
        <v>86400</v>
      </c>
      <c r="I17" s="157"/>
    </row>
    <row r="18" spans="1:9" ht="14.4">
      <c r="A18" s="5">
        <v>56</v>
      </c>
      <c r="B18" s="5" t="s">
        <v>69</v>
      </c>
      <c r="C18" s="4" t="s">
        <v>251</v>
      </c>
      <c r="D18" s="4" t="s">
        <v>131</v>
      </c>
      <c r="E18" s="5">
        <f>30*60</f>
        <v>1800</v>
      </c>
      <c r="F18" s="5" t="s">
        <v>26</v>
      </c>
      <c r="G18" s="16">
        <v>11.66</v>
      </c>
      <c r="H18" s="12">
        <f t="shared" si="1"/>
        <v>20988</v>
      </c>
      <c r="I18" s="157"/>
    </row>
    <row r="19" spans="1:9" ht="14.4">
      <c r="A19" s="5">
        <v>56</v>
      </c>
      <c r="B19" s="5" t="s">
        <v>69</v>
      </c>
      <c r="C19" s="4" t="s">
        <v>251</v>
      </c>
      <c r="D19" s="4" t="s">
        <v>131</v>
      </c>
      <c r="E19" s="5">
        <f t="shared" ref="E19:E20" si="2">180*60</f>
        <v>10800</v>
      </c>
      <c r="F19" s="5" t="s">
        <v>26</v>
      </c>
      <c r="G19" s="16">
        <v>12.66</v>
      </c>
      <c r="H19" s="12">
        <f t="shared" si="1"/>
        <v>136728</v>
      </c>
      <c r="I19" s="157"/>
    </row>
    <row r="20" spans="1:9" ht="14.4">
      <c r="A20" s="5">
        <v>56</v>
      </c>
      <c r="B20" s="5" t="s">
        <v>69</v>
      </c>
      <c r="C20" s="4" t="s">
        <v>251</v>
      </c>
      <c r="D20" s="4" t="s">
        <v>131</v>
      </c>
      <c r="E20" s="5">
        <f t="shared" si="2"/>
        <v>10800</v>
      </c>
      <c r="F20" s="5" t="s">
        <v>26</v>
      </c>
      <c r="G20" s="16">
        <v>15.83</v>
      </c>
      <c r="H20" s="12">
        <f t="shared" si="1"/>
        <v>170964</v>
      </c>
      <c r="I20" s="157"/>
    </row>
    <row r="21" spans="1:9" ht="14.4">
      <c r="A21" s="5">
        <v>56</v>
      </c>
      <c r="B21" s="5" t="s">
        <v>69</v>
      </c>
      <c r="C21" s="4" t="s">
        <v>256</v>
      </c>
      <c r="D21" s="4" t="s">
        <v>131</v>
      </c>
      <c r="E21" s="5">
        <f>1438*60</f>
        <v>86280</v>
      </c>
      <c r="F21" s="5" t="s">
        <v>26</v>
      </c>
      <c r="G21" s="16">
        <v>10.38</v>
      </c>
      <c r="H21" s="12">
        <f t="shared" si="1"/>
        <v>895586.4</v>
      </c>
      <c r="I21" s="157"/>
    </row>
    <row r="22" spans="1:9" ht="55.2">
      <c r="A22" s="5">
        <v>56</v>
      </c>
      <c r="B22" s="5" t="s">
        <v>69</v>
      </c>
      <c r="C22" s="4" t="s">
        <v>260</v>
      </c>
      <c r="D22" s="4" t="s">
        <v>131</v>
      </c>
      <c r="E22" s="5">
        <v>48000</v>
      </c>
      <c r="F22" s="5" t="s">
        <v>26</v>
      </c>
      <c r="G22" s="17">
        <v>5</v>
      </c>
      <c r="H22" s="12">
        <f t="shared" si="1"/>
        <v>240000</v>
      </c>
      <c r="I22" s="158"/>
    </row>
    <row r="23" spans="1:9" ht="14.4">
      <c r="A23" s="5">
        <v>58</v>
      </c>
      <c r="B23" s="5" t="s">
        <v>69</v>
      </c>
      <c r="C23" s="5" t="s">
        <v>268</v>
      </c>
      <c r="D23" s="5" t="s">
        <v>131</v>
      </c>
      <c r="E23" s="14">
        <v>15000</v>
      </c>
      <c r="F23" s="5" t="s">
        <v>26</v>
      </c>
      <c r="G23" s="16">
        <v>3.75</v>
      </c>
      <c r="H23" s="12">
        <f t="shared" si="1"/>
        <v>56250</v>
      </c>
      <c r="I23" s="14">
        <v>1</v>
      </c>
    </row>
    <row r="24" spans="1:9" ht="14.4">
      <c r="A24" s="14">
        <v>60</v>
      </c>
      <c r="B24" s="18" t="s">
        <v>69</v>
      </c>
      <c r="C24" s="18" t="s">
        <v>142</v>
      </c>
      <c r="D24" s="18" t="s">
        <v>314</v>
      </c>
      <c r="E24" s="18">
        <v>100</v>
      </c>
      <c r="F24" s="18" t="s">
        <v>26</v>
      </c>
      <c r="G24" s="14">
        <v>3.33</v>
      </c>
      <c r="H24" s="19">
        <f t="shared" si="1"/>
        <v>333</v>
      </c>
      <c r="I24" s="14">
        <v>1</v>
      </c>
    </row>
    <row r="25" spans="1:9" s="35" customFormat="1" ht="14.4">
      <c r="A25" s="33">
        <v>61</v>
      </c>
      <c r="B25" s="33" t="s">
        <v>91</v>
      </c>
      <c r="C25" s="33" t="s">
        <v>142</v>
      </c>
      <c r="D25" s="33" t="s">
        <v>314</v>
      </c>
      <c r="E25" s="34">
        <v>200</v>
      </c>
      <c r="F25" s="34" t="s">
        <v>26</v>
      </c>
      <c r="G25" s="30">
        <v>200</v>
      </c>
      <c r="H25" s="34">
        <f>E25*G25</f>
        <v>40000</v>
      </c>
      <c r="I25" s="30">
        <v>1</v>
      </c>
    </row>
    <row r="26" spans="1:9" s="36" customFormat="1" ht="15" customHeight="1">
      <c r="A26" s="31">
        <v>66</v>
      </c>
      <c r="B26" s="31" t="s">
        <v>67</v>
      </c>
      <c r="C26" s="31" t="s">
        <v>515</v>
      </c>
      <c r="D26" s="37" t="s">
        <v>314</v>
      </c>
      <c r="E26" s="38">
        <v>1500</v>
      </c>
      <c r="F26" s="39" t="s">
        <v>26</v>
      </c>
      <c r="G26" s="38">
        <v>52.5</v>
      </c>
      <c r="H26" s="40">
        <f>E26*G26</f>
        <v>78750</v>
      </c>
      <c r="I26" s="38">
        <v>1</v>
      </c>
    </row>
  </sheetData>
  <mergeCells count="4">
    <mergeCell ref="I2:I7"/>
    <mergeCell ref="I8:I9"/>
    <mergeCell ref="I10:I15"/>
    <mergeCell ref="I16:I2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0"/>
  <sheetViews>
    <sheetView topLeftCell="A36" workbookViewId="0">
      <selection activeCell="M29" sqref="M29"/>
    </sheetView>
  </sheetViews>
  <sheetFormatPr defaultColWidth="12.6640625" defaultRowHeight="15" customHeight="1"/>
  <cols>
    <col min="1" max="1" width="8.6640625" customWidth="1"/>
    <col min="2" max="2" width="10.21875" customWidth="1"/>
    <col min="3" max="3" width="9.6640625" customWidth="1"/>
    <col min="4" max="4" width="16.6640625" customWidth="1"/>
    <col min="5" max="26" width="8.6640625" customWidth="1"/>
  </cols>
  <sheetData>
    <row r="1" spans="2:4" ht="14.25" customHeight="1">
      <c r="B1" s="20" t="s">
        <v>431</v>
      </c>
      <c r="C1" s="20" t="s">
        <v>114</v>
      </c>
      <c r="D1" s="20" t="s">
        <v>115</v>
      </c>
    </row>
    <row r="2" spans="2:4" ht="14.25" customHeight="1">
      <c r="B2" s="20">
        <v>12000</v>
      </c>
      <c r="C2" s="21">
        <v>15.833333333333334</v>
      </c>
      <c r="D2" s="21">
        <f t="shared" ref="D2:D52" si="0">B2*C2</f>
        <v>190000</v>
      </c>
    </row>
    <row r="3" spans="2:4" ht="14.25" customHeight="1">
      <c r="B3" s="20">
        <v>57000</v>
      </c>
      <c r="C3" s="22">
        <v>6.25</v>
      </c>
      <c r="D3" s="21">
        <f t="shared" si="0"/>
        <v>356250</v>
      </c>
    </row>
    <row r="4" spans="2:4" ht="14.25" customHeight="1">
      <c r="B4" s="20">
        <v>9000</v>
      </c>
      <c r="C4" s="21">
        <v>4.583333333333333</v>
      </c>
      <c r="D4" s="21">
        <f t="shared" si="0"/>
        <v>41250</v>
      </c>
    </row>
    <row r="5" spans="2:4" ht="14.25" customHeight="1">
      <c r="B5" s="20">
        <v>30000</v>
      </c>
      <c r="C5" s="21">
        <v>4.583333333333333</v>
      </c>
      <c r="D5" s="21">
        <f t="shared" si="0"/>
        <v>137500</v>
      </c>
    </row>
    <row r="6" spans="2:4" ht="14.25" customHeight="1">
      <c r="B6" s="20">
        <v>24000</v>
      </c>
      <c r="C6" s="21">
        <v>4.583333333333333</v>
      </c>
      <c r="D6" s="21">
        <f t="shared" si="0"/>
        <v>110000</v>
      </c>
    </row>
    <row r="7" spans="2:4" ht="14.25" customHeight="1">
      <c r="B7" s="20">
        <v>27000</v>
      </c>
      <c r="C7" s="21">
        <v>4.583333333333333</v>
      </c>
      <c r="D7" s="21">
        <f t="shared" si="0"/>
        <v>123749.99999999999</v>
      </c>
    </row>
    <row r="8" spans="2:4" ht="14.25" customHeight="1">
      <c r="B8" s="20">
        <v>9000</v>
      </c>
      <c r="C8" s="21">
        <v>4.583333333333333</v>
      </c>
      <c r="D8" s="21">
        <f t="shared" si="0"/>
        <v>41250</v>
      </c>
    </row>
    <row r="9" spans="2:4" ht="14.25" customHeight="1">
      <c r="B9" s="20">
        <v>6000</v>
      </c>
      <c r="C9" s="21">
        <v>4.75</v>
      </c>
      <c r="D9" s="21">
        <f t="shared" si="0"/>
        <v>28500</v>
      </c>
    </row>
    <row r="10" spans="2:4" ht="14.25" customHeight="1">
      <c r="B10" s="20">
        <v>130</v>
      </c>
      <c r="C10" s="21">
        <v>4.25</v>
      </c>
      <c r="D10" s="21">
        <f t="shared" si="0"/>
        <v>552.5</v>
      </c>
    </row>
    <row r="11" spans="2:4" ht="14.25" customHeight="1">
      <c r="B11" s="20">
        <v>80</v>
      </c>
      <c r="C11" s="21">
        <v>4.25</v>
      </c>
      <c r="D11" s="21">
        <f t="shared" si="0"/>
        <v>340</v>
      </c>
    </row>
    <row r="12" spans="2:4" ht="14.25" customHeight="1">
      <c r="B12" s="20">
        <v>80</v>
      </c>
      <c r="C12" s="21">
        <v>4.25</v>
      </c>
      <c r="D12" s="21">
        <f t="shared" si="0"/>
        <v>340</v>
      </c>
    </row>
    <row r="13" spans="2:4" ht="14.25" customHeight="1">
      <c r="B13" s="20">
        <v>60</v>
      </c>
      <c r="C13" s="21">
        <v>4.25</v>
      </c>
      <c r="D13" s="21">
        <f t="shared" si="0"/>
        <v>255</v>
      </c>
    </row>
    <row r="14" spans="2:4" ht="14.25" customHeight="1">
      <c r="B14" s="20">
        <v>55</v>
      </c>
      <c r="C14" s="21">
        <v>4.25</v>
      </c>
      <c r="D14" s="21">
        <f t="shared" si="0"/>
        <v>233.75</v>
      </c>
    </row>
    <row r="15" spans="2:4" ht="14.25" customHeight="1">
      <c r="B15" s="20">
        <v>78000</v>
      </c>
      <c r="C15" s="21">
        <v>4.25</v>
      </c>
      <c r="D15" s="21">
        <f t="shared" si="0"/>
        <v>331500</v>
      </c>
    </row>
    <row r="16" spans="2:4" ht="14.25" customHeight="1">
      <c r="B16" s="20">
        <v>63000</v>
      </c>
      <c r="C16" s="21">
        <v>4.25</v>
      </c>
      <c r="D16" s="21">
        <f t="shared" si="0"/>
        <v>267750</v>
      </c>
    </row>
    <row r="17" spans="2:4" ht="14.25" customHeight="1">
      <c r="B17" s="20">
        <v>30000</v>
      </c>
      <c r="C17" s="21">
        <v>4.25</v>
      </c>
      <c r="D17" s="21">
        <f t="shared" si="0"/>
        <v>127500</v>
      </c>
    </row>
    <row r="18" spans="2:4" ht="14.25" customHeight="1">
      <c r="B18" s="20">
        <v>21000</v>
      </c>
      <c r="C18" s="21">
        <v>4.25</v>
      </c>
      <c r="D18" s="21">
        <f t="shared" si="0"/>
        <v>89250</v>
      </c>
    </row>
    <row r="19" spans="2:4" ht="14.25" customHeight="1">
      <c r="B19" s="20">
        <v>18000</v>
      </c>
      <c r="C19" s="21">
        <v>4.25</v>
      </c>
      <c r="D19" s="21">
        <f t="shared" si="0"/>
        <v>76500</v>
      </c>
    </row>
    <row r="20" spans="2:4" ht="14.25" customHeight="1">
      <c r="B20" s="20">
        <v>5400</v>
      </c>
      <c r="C20" s="21">
        <v>4.25</v>
      </c>
      <c r="D20" s="21">
        <f t="shared" si="0"/>
        <v>22950</v>
      </c>
    </row>
    <row r="21" spans="2:4" ht="14.25" customHeight="1">
      <c r="B21" s="20">
        <v>14700</v>
      </c>
      <c r="C21" s="21">
        <v>4.25</v>
      </c>
      <c r="D21" s="21">
        <f t="shared" si="0"/>
        <v>62475</v>
      </c>
    </row>
    <row r="22" spans="2:4" ht="14.25" customHeight="1">
      <c r="B22" s="20">
        <v>9000</v>
      </c>
      <c r="C22" s="21">
        <v>4.25</v>
      </c>
      <c r="D22" s="21">
        <f t="shared" si="0"/>
        <v>38250</v>
      </c>
    </row>
    <row r="23" spans="2:4" ht="14.25" customHeight="1">
      <c r="B23" s="20">
        <v>30000</v>
      </c>
      <c r="C23" s="21">
        <v>14.333333333333334</v>
      </c>
      <c r="D23" s="21">
        <f t="shared" si="0"/>
        <v>430000</v>
      </c>
    </row>
    <row r="24" spans="2:4" ht="14.25" customHeight="1">
      <c r="B24" s="20">
        <v>18000</v>
      </c>
      <c r="C24" s="21">
        <v>18</v>
      </c>
      <c r="D24" s="21">
        <f t="shared" si="0"/>
        <v>324000</v>
      </c>
    </row>
    <row r="25" spans="2:4" ht="14.25" customHeight="1">
      <c r="B25" s="20">
        <v>4800</v>
      </c>
      <c r="C25" s="21">
        <v>11.666666666666666</v>
      </c>
      <c r="D25" s="21">
        <f t="shared" si="0"/>
        <v>56000</v>
      </c>
    </row>
    <row r="26" spans="2:4" ht="14.25" customHeight="1">
      <c r="B26" s="20">
        <v>10800</v>
      </c>
      <c r="C26" s="21">
        <v>12.666666666666666</v>
      </c>
      <c r="D26" s="21">
        <f t="shared" si="0"/>
        <v>136800</v>
      </c>
    </row>
    <row r="27" spans="2:4" ht="14.25" customHeight="1">
      <c r="B27" s="20">
        <v>15000</v>
      </c>
      <c r="C27" s="21">
        <v>15.833333333333334</v>
      </c>
      <c r="D27" s="21">
        <f t="shared" si="0"/>
        <v>237500</v>
      </c>
    </row>
    <row r="28" spans="2:4" ht="14.25" customHeight="1">
      <c r="B28" s="20">
        <v>86280</v>
      </c>
      <c r="C28" s="21">
        <v>10.375</v>
      </c>
      <c r="D28" s="21">
        <f t="shared" si="0"/>
        <v>895155</v>
      </c>
    </row>
    <row r="29" spans="2:4" ht="14.25" customHeight="1">
      <c r="B29" s="20">
        <v>18000</v>
      </c>
      <c r="C29" s="21">
        <v>1.0416666666666667</v>
      </c>
      <c r="D29" s="21">
        <f t="shared" si="0"/>
        <v>18750</v>
      </c>
    </row>
    <row r="30" spans="2:4" ht="14.25" customHeight="1">
      <c r="B30" s="20">
        <v>72000</v>
      </c>
      <c r="C30" s="21">
        <v>5</v>
      </c>
      <c r="D30" s="21">
        <f t="shared" si="0"/>
        <v>360000</v>
      </c>
    </row>
    <row r="31" spans="2:4" ht="14.25" customHeight="1">
      <c r="B31" s="20">
        <v>7200</v>
      </c>
      <c r="C31" s="21">
        <v>4.166666666666667</v>
      </c>
      <c r="D31" s="21">
        <f t="shared" si="0"/>
        <v>30000.000000000004</v>
      </c>
    </row>
    <row r="32" spans="2:4" ht="14.25" customHeight="1">
      <c r="B32" s="20">
        <v>1200</v>
      </c>
      <c r="C32" s="21">
        <v>10.833333333333334</v>
      </c>
      <c r="D32" s="21">
        <f t="shared" si="0"/>
        <v>13000</v>
      </c>
    </row>
    <row r="33" spans="2:4" ht="14.25" customHeight="1">
      <c r="B33" s="20">
        <v>1200</v>
      </c>
      <c r="C33" s="21">
        <v>10.833333333333334</v>
      </c>
      <c r="D33" s="21">
        <f t="shared" si="0"/>
        <v>13000</v>
      </c>
    </row>
    <row r="34" spans="2:4" ht="14.25" customHeight="1">
      <c r="B34" s="20">
        <v>1200</v>
      </c>
      <c r="C34" s="21">
        <v>10.833333333333334</v>
      </c>
      <c r="D34" s="21">
        <f t="shared" si="0"/>
        <v>13000</v>
      </c>
    </row>
    <row r="35" spans="2:4" ht="14.25" customHeight="1">
      <c r="B35" s="20">
        <v>1200</v>
      </c>
      <c r="C35" s="21">
        <v>10.833333333333334</v>
      </c>
      <c r="D35" s="21">
        <f t="shared" si="0"/>
        <v>13000</v>
      </c>
    </row>
    <row r="36" spans="2:4" ht="14.25" customHeight="1">
      <c r="B36" s="20">
        <v>15000</v>
      </c>
      <c r="C36" s="21">
        <v>3.75</v>
      </c>
      <c r="D36" s="21">
        <f t="shared" si="0"/>
        <v>56250</v>
      </c>
    </row>
    <row r="37" spans="2:4" ht="14.25" customHeight="1">
      <c r="B37" s="20">
        <v>9000</v>
      </c>
      <c r="C37" s="21">
        <v>2.5</v>
      </c>
      <c r="D37" s="21">
        <f t="shared" si="0"/>
        <v>22500</v>
      </c>
    </row>
    <row r="38" spans="2:4" ht="14.25" customHeight="1">
      <c r="B38" s="20">
        <v>36000</v>
      </c>
      <c r="C38" s="21">
        <v>5</v>
      </c>
      <c r="D38" s="21">
        <f t="shared" si="0"/>
        <v>180000</v>
      </c>
    </row>
    <row r="39" spans="2:4" ht="14.25" customHeight="1">
      <c r="B39" s="20">
        <v>30000</v>
      </c>
      <c r="C39" s="21">
        <v>5</v>
      </c>
      <c r="D39" s="21">
        <f t="shared" si="0"/>
        <v>150000</v>
      </c>
    </row>
    <row r="40" spans="2:4" ht="14.25" customHeight="1">
      <c r="B40" s="20">
        <v>60000</v>
      </c>
      <c r="C40" s="21">
        <v>5</v>
      </c>
      <c r="D40" s="21">
        <f t="shared" si="0"/>
        <v>300000</v>
      </c>
    </row>
    <row r="41" spans="2:4" ht="14.25" customHeight="1">
      <c r="B41" s="20">
        <v>36000</v>
      </c>
      <c r="C41" s="21">
        <v>5</v>
      </c>
      <c r="D41" s="21">
        <f t="shared" si="0"/>
        <v>180000</v>
      </c>
    </row>
    <row r="42" spans="2:4" ht="14.25" customHeight="1">
      <c r="B42" s="20">
        <v>60000</v>
      </c>
      <c r="C42" s="21">
        <v>5.333333333333333</v>
      </c>
      <c r="D42" s="21">
        <f t="shared" si="0"/>
        <v>320000</v>
      </c>
    </row>
    <row r="43" spans="2:4" ht="14.25" customHeight="1">
      <c r="B43" s="20">
        <v>120000</v>
      </c>
      <c r="C43" s="21">
        <v>5.333333333333333</v>
      </c>
      <c r="D43" s="21">
        <f t="shared" si="0"/>
        <v>640000</v>
      </c>
    </row>
    <row r="44" spans="2:4" ht="14.25" customHeight="1">
      <c r="B44" s="20">
        <v>30000</v>
      </c>
      <c r="C44" s="21">
        <v>5.333333333333333</v>
      </c>
      <c r="D44" s="21">
        <f t="shared" si="0"/>
        <v>160000</v>
      </c>
    </row>
    <row r="45" spans="2:4" ht="14.25" customHeight="1">
      <c r="B45" s="20">
        <v>24000</v>
      </c>
      <c r="C45" s="21">
        <v>5.333333333333333</v>
      </c>
      <c r="D45" s="21">
        <f t="shared" si="0"/>
        <v>128000</v>
      </c>
    </row>
    <row r="46" spans="2:4" ht="14.25" customHeight="1">
      <c r="B46" s="20">
        <v>24000</v>
      </c>
      <c r="C46" s="21">
        <v>5</v>
      </c>
      <c r="D46" s="21">
        <f t="shared" si="0"/>
        <v>120000</v>
      </c>
    </row>
    <row r="47" spans="2:4" ht="14.25" customHeight="1">
      <c r="B47" s="20">
        <v>180000</v>
      </c>
      <c r="C47" s="21">
        <v>5.833333333333333</v>
      </c>
      <c r="D47" s="21">
        <f t="shared" si="0"/>
        <v>1050000</v>
      </c>
    </row>
    <row r="48" spans="2:4" ht="14.25" customHeight="1">
      <c r="B48" s="20">
        <v>300000</v>
      </c>
      <c r="C48" s="21">
        <v>5.833333333333333</v>
      </c>
      <c r="D48" s="21">
        <f t="shared" si="0"/>
        <v>1750000</v>
      </c>
    </row>
    <row r="49" spans="2:4" ht="14.25" customHeight="1">
      <c r="B49" s="20">
        <v>18000</v>
      </c>
      <c r="C49" s="21">
        <v>5.833333333333333</v>
      </c>
      <c r="D49" s="21">
        <f t="shared" si="0"/>
        <v>105000</v>
      </c>
    </row>
    <row r="50" spans="2:4" ht="14.25" customHeight="1">
      <c r="B50" s="20">
        <v>90000</v>
      </c>
      <c r="C50" s="21">
        <v>5.833333333333333</v>
      </c>
      <c r="D50" s="21">
        <f t="shared" si="0"/>
        <v>525000</v>
      </c>
    </row>
    <row r="51" spans="2:4" ht="14.25" customHeight="1">
      <c r="B51" s="20">
        <v>120000</v>
      </c>
      <c r="C51" s="21">
        <v>5.833333333333333</v>
      </c>
      <c r="D51" s="21">
        <f t="shared" si="0"/>
        <v>700000</v>
      </c>
    </row>
    <row r="52" spans="2:4" ht="14.25" customHeight="1">
      <c r="B52" s="20">
        <v>600000</v>
      </c>
      <c r="C52" s="21">
        <v>6.3333000000000004</v>
      </c>
      <c r="D52" s="21">
        <f t="shared" si="0"/>
        <v>3799980</v>
      </c>
    </row>
    <row r="53" spans="2:4" ht="14.25" customHeight="1">
      <c r="B53" s="23">
        <f>SUM(B2:B52)/1000</f>
        <v>2432.3850000000002</v>
      </c>
      <c r="C53" s="24">
        <f>AVERAGE(C2:C52)</f>
        <v>6.4607836601307147</v>
      </c>
      <c r="D53" s="24">
        <f>SUM(D2:D52)</f>
        <v>14773331.25</v>
      </c>
    </row>
    <row r="54" spans="2:4" ht="14.25" customHeight="1">
      <c r="B54" s="20">
        <f>SUM(B2:B52)/60</f>
        <v>40539.75</v>
      </c>
    </row>
    <row r="55" spans="2:4" ht="14.25" customHeight="1"/>
    <row r="56" spans="2:4" ht="14.25" customHeight="1"/>
    <row r="57" spans="2:4" ht="14.25" customHeight="1"/>
    <row r="58" spans="2:4" ht="14.25" customHeight="1"/>
    <row r="59" spans="2:4" ht="14.25" customHeight="1"/>
    <row r="60" spans="2:4" ht="14.25" customHeight="1"/>
    <row r="61" spans="2:4" ht="14.25" customHeight="1"/>
    <row r="62" spans="2:4" ht="14.25" customHeight="1"/>
    <row r="63" spans="2:4" ht="14.25" customHeight="1"/>
    <row r="64" spans="2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000"/>
  <sheetViews>
    <sheetView workbookViewId="0"/>
  </sheetViews>
  <sheetFormatPr defaultColWidth="12.6640625" defaultRowHeight="15" customHeight="1"/>
  <cols>
    <col min="1" max="2" width="8.6640625" customWidth="1"/>
    <col min="3" max="3" width="10.44140625" customWidth="1"/>
    <col min="4" max="5" width="15.6640625" customWidth="1"/>
    <col min="6" max="7" width="8.6640625" customWidth="1"/>
    <col min="8" max="8" width="10.44140625" customWidth="1"/>
    <col min="9" max="9" width="15.6640625" customWidth="1"/>
    <col min="10" max="26" width="8.6640625" customWidth="1"/>
  </cols>
  <sheetData>
    <row r="1" spans="2:9" ht="14.25" customHeight="1">
      <c r="B1" s="20">
        <v>30</v>
      </c>
      <c r="C1" s="20">
        <v>125</v>
      </c>
      <c r="D1" s="20">
        <v>3750</v>
      </c>
      <c r="G1" s="20">
        <v>1200</v>
      </c>
      <c r="H1" s="20">
        <v>65</v>
      </c>
      <c r="I1" s="20">
        <v>78000</v>
      </c>
    </row>
    <row r="2" spans="2:9" ht="14.25" customHeight="1">
      <c r="B2" s="20">
        <v>50</v>
      </c>
      <c r="C2" s="20">
        <v>120</v>
      </c>
      <c r="D2" s="20">
        <v>6000</v>
      </c>
      <c r="G2" s="20">
        <v>2100</v>
      </c>
      <c r="H2" s="25">
        <v>66.13</v>
      </c>
      <c r="I2" s="20">
        <v>287700</v>
      </c>
    </row>
    <row r="3" spans="2:9" ht="14.25" customHeight="1">
      <c r="B3" s="20">
        <v>500</v>
      </c>
      <c r="C3" s="20">
        <v>57.5</v>
      </c>
      <c r="D3" s="20">
        <v>28750</v>
      </c>
      <c r="G3" s="20">
        <v>3500</v>
      </c>
      <c r="H3" s="25">
        <v>66.13</v>
      </c>
      <c r="I3" s="20">
        <v>490000</v>
      </c>
    </row>
    <row r="4" spans="2:9" ht="14.25" customHeight="1">
      <c r="B4" s="20">
        <v>4000</v>
      </c>
      <c r="C4" s="20">
        <v>120</v>
      </c>
      <c r="D4" s="20">
        <v>480000</v>
      </c>
      <c r="G4" s="20">
        <v>500</v>
      </c>
      <c r="H4" s="25">
        <v>66.13</v>
      </c>
      <c r="I4" s="20">
        <v>67500</v>
      </c>
    </row>
    <row r="5" spans="2:9" ht="14.25" customHeight="1">
      <c r="B5" s="20">
        <v>7000</v>
      </c>
      <c r="C5" s="20">
        <v>120</v>
      </c>
      <c r="D5" s="20">
        <v>840000</v>
      </c>
      <c r="G5" s="20">
        <v>600</v>
      </c>
      <c r="H5" s="25">
        <v>66.13</v>
      </c>
      <c r="I5" s="20">
        <v>82500</v>
      </c>
    </row>
    <row r="6" spans="2:9" ht="14.25" customHeight="1">
      <c r="B6" s="20">
        <v>3500</v>
      </c>
      <c r="C6" s="20">
        <v>120</v>
      </c>
      <c r="D6" s="20">
        <v>420000</v>
      </c>
      <c r="G6" s="20">
        <v>700</v>
      </c>
      <c r="H6" s="25">
        <v>66.13</v>
      </c>
      <c r="I6" s="20">
        <v>96250</v>
      </c>
    </row>
    <row r="7" spans="2:9" ht="14.25" customHeight="1">
      <c r="B7" s="20">
        <v>4000</v>
      </c>
      <c r="C7" s="20">
        <v>120</v>
      </c>
      <c r="D7" s="20">
        <v>480000</v>
      </c>
      <c r="G7" s="20">
        <v>400</v>
      </c>
      <c r="H7" s="20">
        <v>68.5</v>
      </c>
      <c r="I7" s="20">
        <v>27400</v>
      </c>
    </row>
    <row r="8" spans="2:9" ht="14.25" customHeight="1">
      <c r="B8" s="20">
        <v>3000</v>
      </c>
      <c r="C8" s="20">
        <v>120</v>
      </c>
      <c r="D8" s="20">
        <v>360000</v>
      </c>
      <c r="G8" s="20">
        <v>900</v>
      </c>
      <c r="H8" s="20">
        <v>65</v>
      </c>
      <c r="I8" s="20">
        <v>58500</v>
      </c>
    </row>
    <row r="9" spans="2:9" ht="14.25" customHeight="1">
      <c r="B9" s="20">
        <v>2000</v>
      </c>
      <c r="C9" s="20">
        <v>120</v>
      </c>
      <c r="D9" s="20">
        <v>240000</v>
      </c>
      <c r="G9" s="20">
        <v>2000</v>
      </c>
      <c r="H9" s="20">
        <v>66</v>
      </c>
      <c r="I9" s="20">
        <v>132000</v>
      </c>
    </row>
    <row r="10" spans="2:9" ht="14.25" customHeight="1">
      <c r="B10" s="20">
        <v>3000</v>
      </c>
      <c r="C10" s="20">
        <v>120</v>
      </c>
      <c r="D10" s="20">
        <v>360000</v>
      </c>
      <c r="G10" s="23">
        <f>SUM(G1:G9)/1000</f>
        <v>11.9</v>
      </c>
      <c r="H10" s="24">
        <f>AVERAGE(H1:H9)</f>
        <v>66.12777777777778</v>
      </c>
      <c r="I10" s="24">
        <f>SUM(I1:I9)</f>
        <v>1319850</v>
      </c>
    </row>
    <row r="11" spans="2:9" ht="14.25" customHeight="1">
      <c r="B11" s="20">
        <v>2000</v>
      </c>
      <c r="C11" s="20">
        <v>120</v>
      </c>
      <c r="D11" s="20">
        <v>240000</v>
      </c>
      <c r="G11" s="23">
        <f t="shared" ref="G11:I11" si="0">B36</f>
        <v>52.83</v>
      </c>
      <c r="H11" s="24">
        <f t="shared" si="0"/>
        <v>121.48571428571428</v>
      </c>
      <c r="I11" s="24">
        <f t="shared" si="0"/>
        <v>6443250</v>
      </c>
    </row>
    <row r="12" spans="2:9" ht="14.25" customHeight="1">
      <c r="B12" s="20">
        <v>1500</v>
      </c>
      <c r="C12" s="20">
        <v>120</v>
      </c>
      <c r="D12" s="20">
        <v>180000</v>
      </c>
      <c r="G12" s="23">
        <f>SUM(G10:G11)</f>
        <v>64.73</v>
      </c>
      <c r="H12" s="23"/>
      <c r="I12" s="24">
        <f>SUM(I10:I11)</f>
        <v>7763100</v>
      </c>
    </row>
    <row r="13" spans="2:9" ht="14.25" customHeight="1">
      <c r="B13" s="20">
        <v>3000</v>
      </c>
      <c r="C13" s="20">
        <v>120</v>
      </c>
      <c r="D13" s="20">
        <v>360000</v>
      </c>
    </row>
    <row r="14" spans="2:9" ht="14.25" customHeight="1">
      <c r="B14" s="20">
        <v>700</v>
      </c>
      <c r="C14" s="20">
        <v>120</v>
      </c>
      <c r="D14" s="20">
        <v>84000</v>
      </c>
    </row>
    <row r="15" spans="2:9" ht="14.25" customHeight="1">
      <c r="B15" s="20">
        <v>600</v>
      </c>
      <c r="C15" s="20">
        <v>120</v>
      </c>
      <c r="D15" s="20">
        <v>72000</v>
      </c>
    </row>
    <row r="16" spans="2:9" ht="14.25" customHeight="1">
      <c r="B16" s="20">
        <v>700</v>
      </c>
      <c r="C16" s="20">
        <v>120</v>
      </c>
      <c r="D16" s="20">
        <v>84000</v>
      </c>
    </row>
    <row r="17" spans="2:4" ht="14.25" customHeight="1">
      <c r="B17" s="20">
        <v>2000</v>
      </c>
      <c r="C17" s="20">
        <v>120</v>
      </c>
      <c r="D17" s="20">
        <v>240000</v>
      </c>
    </row>
    <row r="18" spans="2:4" ht="14.25" customHeight="1">
      <c r="B18" s="20">
        <v>600</v>
      </c>
      <c r="C18" s="20">
        <v>120</v>
      </c>
      <c r="D18" s="20">
        <v>72000</v>
      </c>
    </row>
    <row r="19" spans="2:4" ht="14.25" customHeight="1">
      <c r="B19" s="20">
        <v>1500</v>
      </c>
      <c r="C19" s="20">
        <v>120</v>
      </c>
      <c r="D19" s="20">
        <v>180000</v>
      </c>
    </row>
    <row r="20" spans="2:4" ht="14.25" customHeight="1">
      <c r="B20" s="20">
        <v>700</v>
      </c>
      <c r="C20" s="20">
        <v>120</v>
      </c>
      <c r="D20" s="20">
        <v>84000</v>
      </c>
    </row>
    <row r="21" spans="2:4" ht="14.25" customHeight="1">
      <c r="B21" s="20">
        <v>1000</v>
      </c>
      <c r="C21" s="20">
        <v>120</v>
      </c>
      <c r="D21" s="20">
        <v>120000</v>
      </c>
    </row>
    <row r="22" spans="2:4" ht="14.25" customHeight="1">
      <c r="B22" s="20">
        <v>600</v>
      </c>
      <c r="C22" s="20">
        <v>120</v>
      </c>
      <c r="D22" s="20">
        <v>72000</v>
      </c>
    </row>
    <row r="23" spans="2:4" ht="14.25" customHeight="1">
      <c r="B23" s="20">
        <v>800</v>
      </c>
      <c r="C23" s="20">
        <v>120</v>
      </c>
      <c r="D23" s="20">
        <v>96000</v>
      </c>
    </row>
    <row r="24" spans="2:4" ht="14.25" customHeight="1">
      <c r="B24" s="20">
        <v>500</v>
      </c>
      <c r="C24" s="20">
        <v>120</v>
      </c>
      <c r="D24" s="20">
        <v>60000</v>
      </c>
    </row>
    <row r="25" spans="2:4" ht="14.25" customHeight="1">
      <c r="B25" s="20">
        <v>600</v>
      </c>
      <c r="C25" s="20">
        <v>120</v>
      </c>
      <c r="D25" s="20">
        <v>72000</v>
      </c>
    </row>
    <row r="26" spans="2:4" ht="14.25" customHeight="1">
      <c r="B26" s="20">
        <v>2000</v>
      </c>
      <c r="C26" s="20">
        <v>142</v>
      </c>
      <c r="D26" s="20">
        <v>284000</v>
      </c>
    </row>
    <row r="27" spans="2:4" ht="14.25" customHeight="1">
      <c r="B27" s="20">
        <v>1200</v>
      </c>
      <c r="C27" s="20">
        <v>130</v>
      </c>
      <c r="D27" s="20">
        <v>156000</v>
      </c>
    </row>
    <row r="28" spans="2:4" ht="14.25" customHeight="1">
      <c r="B28" s="20">
        <v>800</v>
      </c>
      <c r="C28" s="20">
        <v>130</v>
      </c>
      <c r="D28" s="20">
        <v>104000</v>
      </c>
    </row>
    <row r="29" spans="2:4" ht="14.25" customHeight="1">
      <c r="B29" s="20">
        <v>900</v>
      </c>
      <c r="C29" s="20">
        <v>127.5</v>
      </c>
      <c r="D29" s="20">
        <v>114750</v>
      </c>
    </row>
    <row r="30" spans="2:4" ht="14.25" customHeight="1">
      <c r="B30" s="20">
        <v>300</v>
      </c>
      <c r="C30" s="20">
        <v>117.5</v>
      </c>
      <c r="D30" s="20">
        <v>35250</v>
      </c>
    </row>
    <row r="31" spans="2:4" ht="14.25" customHeight="1">
      <c r="B31" s="20">
        <v>700</v>
      </c>
      <c r="C31" s="20">
        <v>135</v>
      </c>
      <c r="D31" s="20">
        <v>94500</v>
      </c>
    </row>
    <row r="32" spans="2:4" ht="14.25" customHeight="1">
      <c r="B32" s="20">
        <v>400</v>
      </c>
      <c r="C32" s="20">
        <v>130</v>
      </c>
      <c r="D32" s="20">
        <v>52000</v>
      </c>
    </row>
    <row r="33" spans="2:5" ht="14.25" customHeight="1">
      <c r="B33" s="20">
        <v>250</v>
      </c>
      <c r="C33" s="20">
        <v>125</v>
      </c>
      <c r="D33" s="20">
        <v>31250</v>
      </c>
    </row>
    <row r="34" spans="2:5" ht="14.25" customHeight="1">
      <c r="B34" s="20">
        <v>2000</v>
      </c>
      <c r="C34" s="20">
        <v>142.5</v>
      </c>
      <c r="D34" s="20">
        <v>285000</v>
      </c>
    </row>
    <row r="35" spans="2:5" ht="14.25" customHeight="1">
      <c r="B35" s="20">
        <v>400</v>
      </c>
      <c r="C35" s="20">
        <v>130</v>
      </c>
      <c r="D35" s="20">
        <v>52000</v>
      </c>
    </row>
    <row r="36" spans="2:5" ht="14.25" customHeight="1">
      <c r="B36" s="20">
        <f>SUM(B1:B35)/1000</f>
        <v>52.83</v>
      </c>
      <c r="C36" s="21">
        <f>AVERAGE(C1:C35)</f>
        <v>121.48571428571428</v>
      </c>
      <c r="D36" s="21">
        <f>SUM(D1:D35)</f>
        <v>6443250</v>
      </c>
      <c r="E36" s="21"/>
    </row>
    <row r="37" spans="2:5" ht="14.25" customHeight="1"/>
    <row r="38" spans="2:5" ht="14.25" customHeight="1"/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/>
  </sheetViews>
  <sheetFormatPr defaultColWidth="12.6640625" defaultRowHeight="15" customHeight="1"/>
  <cols>
    <col min="1" max="1" width="17.21875" customWidth="1"/>
    <col min="2" max="3" width="14.109375" customWidth="1"/>
    <col min="4" max="4" width="20.77734375" customWidth="1"/>
    <col min="5" max="5" width="21.33203125" customWidth="1"/>
    <col min="6" max="6" width="18.33203125" customWidth="1"/>
    <col min="7" max="12" width="8.6640625" customWidth="1"/>
    <col min="13" max="13" width="9.44140625" customWidth="1"/>
    <col min="14" max="14" width="14.21875" customWidth="1"/>
    <col min="15" max="26" width="8.6640625" customWidth="1"/>
  </cols>
  <sheetData>
    <row r="1" spans="1:14" ht="14.25" customHeight="1"/>
    <row r="2" spans="1:14" ht="14.25" customHeight="1">
      <c r="L2" s="20" t="s">
        <v>432</v>
      </c>
      <c r="M2" s="20" t="s">
        <v>114</v>
      </c>
      <c r="N2" s="20" t="s">
        <v>433</v>
      </c>
    </row>
    <row r="3" spans="1:14" ht="14.25" customHeight="1">
      <c r="B3" s="20" t="s">
        <v>125</v>
      </c>
      <c r="C3" s="20" t="s">
        <v>434</v>
      </c>
      <c r="D3" s="20" t="s">
        <v>435</v>
      </c>
      <c r="E3" s="20" t="s">
        <v>436</v>
      </c>
      <c r="F3" s="20" t="s">
        <v>437</v>
      </c>
      <c r="J3" s="20" t="s">
        <v>438</v>
      </c>
      <c r="L3" s="20">
        <v>57000</v>
      </c>
      <c r="M3" s="6">
        <v>6.25</v>
      </c>
      <c r="N3" s="6">
        <v>356250</v>
      </c>
    </row>
    <row r="4" spans="1:14" ht="14.25" customHeight="1">
      <c r="A4" s="20" t="s">
        <v>439</v>
      </c>
      <c r="B4" s="26">
        <v>4.8600000000000003</v>
      </c>
      <c r="C4" s="21">
        <v>6.833333333333333</v>
      </c>
      <c r="E4" s="21">
        <v>60</v>
      </c>
      <c r="F4" s="21">
        <v>165.53333333333333</v>
      </c>
      <c r="L4" s="20">
        <v>9000</v>
      </c>
      <c r="M4" s="6">
        <v>4.583333333333333</v>
      </c>
      <c r="N4" s="6">
        <v>41250</v>
      </c>
    </row>
    <row r="5" spans="1:14" ht="14.25" customHeight="1">
      <c r="A5" s="20" t="s">
        <v>431</v>
      </c>
      <c r="B5" s="27">
        <f>L9</f>
        <v>156000</v>
      </c>
      <c r="C5" s="20">
        <v>57000</v>
      </c>
      <c r="F5" s="20">
        <v>2400</v>
      </c>
      <c r="L5" s="20">
        <v>30000</v>
      </c>
      <c r="M5" s="6">
        <v>4.583333333333333</v>
      </c>
      <c r="N5" s="6">
        <v>137500</v>
      </c>
    </row>
    <row r="6" spans="1:14" ht="14.25" customHeight="1">
      <c r="A6" s="20" t="s">
        <v>115</v>
      </c>
      <c r="B6" s="26">
        <f>N9</f>
        <v>810000</v>
      </c>
      <c r="C6" s="21">
        <v>389500</v>
      </c>
      <c r="F6" s="21">
        <v>341488</v>
      </c>
      <c r="L6" s="20">
        <v>24000</v>
      </c>
      <c r="M6" s="6">
        <v>4.583333333333333</v>
      </c>
      <c r="N6" s="6">
        <v>110000</v>
      </c>
    </row>
    <row r="7" spans="1:14" ht="14.25" customHeight="1">
      <c r="L7" s="20">
        <v>27000</v>
      </c>
      <c r="M7" s="6">
        <v>4.583333333333333</v>
      </c>
      <c r="N7" s="6">
        <v>123749.99999999999</v>
      </c>
    </row>
    <row r="8" spans="1:14" ht="14.25" customHeight="1">
      <c r="L8" s="20">
        <v>9000</v>
      </c>
      <c r="M8" s="6">
        <v>4.583333333333333</v>
      </c>
      <c r="N8" s="6">
        <v>41250</v>
      </c>
    </row>
    <row r="9" spans="1:14" ht="14.25" customHeight="1">
      <c r="L9" s="23">
        <f>SUM(L3:L8)</f>
        <v>156000</v>
      </c>
      <c r="M9" s="24">
        <f>AVERAGE(M3:M8)</f>
        <v>4.8611111111111098</v>
      </c>
      <c r="N9" s="24">
        <f>SUM(N3:N8)</f>
        <v>810000</v>
      </c>
    </row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>
      <c r="J14" s="20" t="s">
        <v>440</v>
      </c>
      <c r="L14" s="20" t="s">
        <v>432</v>
      </c>
      <c r="M14" s="20" t="s">
        <v>114</v>
      </c>
      <c r="N14" s="20" t="s">
        <v>433</v>
      </c>
    </row>
    <row r="15" spans="1:14" ht="14.25" customHeight="1">
      <c r="M15" s="21">
        <v>60</v>
      </c>
      <c r="N15" s="21">
        <v>1800</v>
      </c>
    </row>
    <row r="16" spans="1:14" ht="14.25" customHeight="1"/>
    <row r="17" spans="10:14" ht="14.25" customHeight="1"/>
    <row r="18" spans="10:14" ht="14.25" customHeight="1"/>
    <row r="19" spans="10:14" ht="14.25" customHeight="1">
      <c r="J19" s="20" t="s">
        <v>441</v>
      </c>
      <c r="L19" s="20" t="s">
        <v>432</v>
      </c>
      <c r="M19" s="20" t="s">
        <v>114</v>
      </c>
      <c r="N19" s="20" t="s">
        <v>433</v>
      </c>
    </row>
    <row r="20" spans="10:14" ht="14.25" customHeight="1">
      <c r="L20" s="20">
        <v>2400</v>
      </c>
      <c r="M20" s="20">
        <v>165.53333333333333</v>
      </c>
      <c r="N20" s="21">
        <v>341488</v>
      </c>
    </row>
    <row r="21" spans="10:14" ht="14.25" customHeight="1"/>
    <row r="22" spans="10:14" ht="14.25" customHeight="1"/>
    <row r="23" spans="10:14" ht="14.25" customHeight="1"/>
    <row r="24" spans="10:14" ht="14.25" customHeight="1"/>
    <row r="25" spans="10:14" ht="14.25" customHeight="1"/>
    <row r="26" spans="10:14" ht="14.25" customHeight="1"/>
    <row r="27" spans="10:14" ht="14.25" customHeight="1"/>
    <row r="28" spans="10:14" ht="14.25" customHeight="1"/>
    <row r="29" spans="10:14" ht="14.25" customHeight="1"/>
    <row r="30" spans="10:14" ht="14.25" customHeight="1"/>
    <row r="31" spans="10:14" ht="14.25" customHeight="1"/>
    <row r="32" spans="10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INTERMEDIÁRIOS</vt:lpstr>
      <vt:lpstr>TABELA 2.3</vt:lpstr>
      <vt:lpstr>TABELA 4</vt:lpstr>
      <vt:lpstr>Mulata - Castanha e Fármacos</vt:lpstr>
      <vt:lpstr>Castnha</vt:lpstr>
      <vt:lpstr>Cumaru</vt:lpstr>
      <vt:lpstr>Castanha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Munhoz</dc:creator>
  <cp:lastModifiedBy>Lissandra Portela</cp:lastModifiedBy>
  <dcterms:created xsi:type="dcterms:W3CDTF">2025-07-29T18:41:28Z</dcterms:created>
  <dcterms:modified xsi:type="dcterms:W3CDTF">2026-01-19T02:55:57Z</dcterms:modified>
</cp:coreProperties>
</file>