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projeto-bancodedados\formularios-contas-alphas\"/>
    </mc:Choice>
  </mc:AlternateContent>
  <xr:revisionPtr revIDLastSave="0" documentId="13_ncr:1_{B1F114F0-5064-43E9-A603-A16718598667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INTERMEDIÁRIOS" sheetId="1" r:id="rId1"/>
    <sheet name="TABELA 2.3" sheetId="2" r:id="rId2"/>
    <sheet name="TABELA 4" sheetId="4" r:id="rId3"/>
    <sheet name="Mulata - Castanha e Fármacos" sheetId="3" r:id="rId4"/>
    <sheet name="Castnha" sheetId="5" r:id="rId5"/>
    <sheet name="Cumaru" sheetId="6" r:id="rId6"/>
    <sheet name="Castanha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7PlRMJDz6VhsaJhoiImeLSYyjlNaMjcXMVmBSRI5PIM="/>
    </ext>
  </extLst>
</workbook>
</file>

<file path=xl/calcChain.xml><?xml version="1.0" encoding="utf-8"?>
<calcChain xmlns="http://schemas.openxmlformats.org/spreadsheetml/2006/main">
  <c r="H45" i="4" l="1"/>
  <c r="G45" i="4"/>
  <c r="E45" i="4"/>
  <c r="K147" i="2"/>
  <c r="J147" i="2"/>
  <c r="H147" i="2"/>
  <c r="H41" i="4"/>
  <c r="G41" i="4"/>
  <c r="E41" i="4"/>
  <c r="H40" i="4"/>
  <c r="G40" i="4"/>
  <c r="E40" i="4"/>
  <c r="H39" i="4"/>
  <c r="G39" i="4"/>
  <c r="E39" i="4"/>
  <c r="K144" i="2"/>
  <c r="J144" i="2"/>
  <c r="H144" i="2"/>
  <c r="H32" i="4"/>
  <c r="G32" i="4"/>
  <c r="H31" i="4"/>
  <c r="G31" i="4"/>
  <c r="K109" i="2"/>
  <c r="J109" i="2"/>
  <c r="H106" i="2"/>
  <c r="H105" i="2"/>
  <c r="J105" i="2"/>
  <c r="K104" i="2"/>
  <c r="K105" i="2"/>
  <c r="K106" i="2"/>
  <c r="J104" i="2"/>
  <c r="J106" i="2"/>
  <c r="H104" i="2"/>
  <c r="K103" i="2"/>
  <c r="J103" i="2"/>
  <c r="H103" i="2"/>
  <c r="K102" i="2"/>
  <c r="J102" i="2"/>
  <c r="H102" i="2"/>
  <c r="K101" i="2"/>
  <c r="J101" i="2"/>
  <c r="H101" i="2"/>
  <c r="H36" i="4"/>
  <c r="K141" i="2"/>
  <c r="G36" i="4"/>
  <c r="E36" i="4"/>
  <c r="J141" i="2"/>
  <c r="H141" i="2"/>
  <c r="J76" i="2"/>
  <c r="S76" i="2" s="1"/>
  <c r="H76" i="2"/>
  <c r="F76" i="2"/>
  <c r="J75" i="2"/>
  <c r="H75" i="2"/>
  <c r="K74" i="2"/>
  <c r="J74" i="2"/>
  <c r="S74" i="2" s="1"/>
  <c r="H74" i="2"/>
  <c r="F74" i="2"/>
  <c r="K73" i="2"/>
  <c r="J73" i="2"/>
  <c r="H73" i="2"/>
  <c r="F73" i="2"/>
  <c r="K72" i="2"/>
  <c r="J72" i="2"/>
  <c r="S72" i="2" s="1"/>
  <c r="H72" i="2"/>
  <c r="F72" i="2"/>
  <c r="K71" i="2"/>
  <c r="J71" i="2"/>
  <c r="H71" i="2"/>
  <c r="F71" i="2"/>
  <c r="O70" i="2"/>
  <c r="N70" i="2"/>
  <c r="V70" i="2" s="1"/>
  <c r="L70" i="2"/>
  <c r="K70" i="2"/>
  <c r="J70" i="2"/>
  <c r="S70" i="2" s="1"/>
  <c r="H70" i="2"/>
  <c r="F70" i="2"/>
  <c r="K69" i="2"/>
  <c r="J69" i="2"/>
  <c r="H69" i="2"/>
  <c r="F69" i="2"/>
  <c r="I13" i="4"/>
  <c r="I14" i="4"/>
  <c r="G13" i="4"/>
  <c r="H14" i="4"/>
  <c r="G14" i="4"/>
  <c r="E15" i="4"/>
  <c r="E14" i="4"/>
  <c r="E16" i="4"/>
  <c r="E17" i="4"/>
  <c r="E13" i="4"/>
  <c r="F26" i="2"/>
  <c r="J22" i="2"/>
  <c r="K24" i="2"/>
  <c r="K28" i="2"/>
  <c r="H26" i="2"/>
  <c r="H25" i="2"/>
  <c r="H24" i="2"/>
  <c r="H18" i="2"/>
  <c r="H20" i="2"/>
  <c r="H30" i="2"/>
  <c r="H29" i="2"/>
  <c r="J28" i="2"/>
  <c r="K27" i="2"/>
  <c r="J27" i="2"/>
  <c r="K26" i="2"/>
  <c r="J26" i="2"/>
  <c r="K25" i="2"/>
  <c r="J25" i="2"/>
  <c r="J24" i="2"/>
  <c r="S24" i="2" s="1"/>
  <c r="T24" i="2" s="1"/>
  <c r="K23" i="2"/>
  <c r="J23" i="2"/>
  <c r="S23" i="2" s="1"/>
  <c r="H23" i="2"/>
  <c r="K22" i="2"/>
  <c r="K21" i="2"/>
  <c r="J21" i="2"/>
  <c r="H21" i="2"/>
  <c r="K20" i="2"/>
  <c r="J20" i="2"/>
  <c r="K19" i="2"/>
  <c r="J19" i="2"/>
  <c r="H19" i="2"/>
  <c r="K18" i="2"/>
  <c r="J18" i="2"/>
  <c r="K17" i="2"/>
  <c r="J17" i="2"/>
  <c r="H17" i="2"/>
  <c r="K16" i="2"/>
  <c r="J16" i="2"/>
  <c r="H16" i="2"/>
  <c r="H14" i="2"/>
  <c r="J7" i="2"/>
  <c r="I7" i="4"/>
  <c r="G7" i="4"/>
  <c r="H7" i="4"/>
  <c r="E7" i="4"/>
  <c r="H6" i="2"/>
  <c r="E11" i="4"/>
  <c r="G11" i="4"/>
  <c r="H11" i="4"/>
  <c r="K12" i="4"/>
  <c r="E12" i="4"/>
  <c r="K14" i="2"/>
  <c r="J14" i="2"/>
  <c r="S14" i="2" s="1"/>
  <c r="F14" i="2"/>
  <c r="K10" i="2"/>
  <c r="J10" i="2"/>
  <c r="S10" i="2" s="1"/>
  <c r="H10" i="2"/>
  <c r="F10" i="2"/>
  <c r="K9" i="2"/>
  <c r="J9" i="2"/>
  <c r="H9" i="2"/>
  <c r="F9" i="2"/>
  <c r="F7" i="2"/>
  <c r="K8" i="2"/>
  <c r="J8" i="2"/>
  <c r="H8" i="2"/>
  <c r="J6" i="2"/>
  <c r="K7" i="2"/>
  <c r="K6" i="2"/>
  <c r="H7" i="2"/>
  <c r="H2" i="2"/>
  <c r="M6" i="4"/>
  <c r="H5" i="4"/>
  <c r="G5" i="4"/>
  <c r="V5" i="4" s="1"/>
  <c r="E5" i="4"/>
  <c r="N5" i="2"/>
  <c r="V5" i="2" s="1"/>
  <c r="W5" i="2" s="1"/>
  <c r="H4" i="2"/>
  <c r="K4" i="2"/>
  <c r="J4" i="2"/>
  <c r="G3" i="4"/>
  <c r="E3" i="4"/>
  <c r="E2" i="4"/>
  <c r="G2" i="4"/>
  <c r="K2" i="2"/>
  <c r="J2" i="2"/>
  <c r="S2" i="2" s="1"/>
  <c r="H26" i="3"/>
  <c r="H25" i="3"/>
  <c r="N9" i="7"/>
  <c r="M9" i="7"/>
  <c r="L9" i="7"/>
  <c r="B5" i="7" s="1"/>
  <c r="B6" i="7"/>
  <c r="D36" i="6"/>
  <c r="C36" i="6"/>
  <c r="B36" i="6"/>
  <c r="G11" i="6" s="1"/>
  <c r="G12" i="6" s="1"/>
  <c r="I11" i="6"/>
  <c r="I12" i="6" s="1"/>
  <c r="H11" i="6"/>
  <c r="I10" i="6"/>
  <c r="H10" i="6"/>
  <c r="G10" i="6"/>
  <c r="B54" i="5"/>
  <c r="C53" i="5"/>
  <c r="B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53" i="5" s="1"/>
  <c r="D6" i="5"/>
  <c r="D5" i="5"/>
  <c r="D4" i="5"/>
  <c r="D3" i="5"/>
  <c r="D2" i="5"/>
  <c r="I28" i="4"/>
  <c r="E28" i="4"/>
  <c r="E25" i="4"/>
  <c r="E24" i="4"/>
  <c r="E22" i="4"/>
  <c r="E21" i="4"/>
  <c r="H20" i="4"/>
  <c r="E20" i="4"/>
  <c r="H19" i="4"/>
  <c r="E19" i="4"/>
  <c r="H24" i="3"/>
  <c r="H23" i="3"/>
  <c r="H22" i="3"/>
  <c r="H21" i="3"/>
  <c r="E21" i="3"/>
  <c r="E20" i="3"/>
  <c r="H20" i="3" s="1"/>
  <c r="H19" i="3"/>
  <c r="E19" i="3"/>
  <c r="H18" i="3"/>
  <c r="E18" i="3"/>
  <c r="H17" i="3"/>
  <c r="E17" i="3"/>
  <c r="E16" i="3"/>
  <c r="H16" i="3" s="1"/>
  <c r="H15" i="3"/>
  <c r="H14" i="3"/>
  <c r="H13" i="3"/>
  <c r="H12" i="3"/>
  <c r="H11" i="3"/>
  <c r="H10" i="3"/>
  <c r="H8" i="3"/>
  <c r="H7" i="3"/>
  <c r="H6" i="3"/>
  <c r="H5" i="3"/>
  <c r="H4" i="3"/>
  <c r="H3" i="3"/>
  <c r="H2" i="3"/>
  <c r="E2" i="3"/>
  <c r="V100" i="2"/>
  <c r="W100" i="2" s="1"/>
  <c r="S100" i="2"/>
  <c r="T100" i="2" s="1"/>
  <c r="V99" i="2"/>
  <c r="W99" i="2" s="1"/>
  <c r="S99" i="2"/>
  <c r="T99" i="2" s="1"/>
  <c r="V98" i="2"/>
  <c r="W98" i="2" s="1"/>
  <c r="S98" i="2"/>
  <c r="T98" i="2" s="1"/>
  <c r="V97" i="2"/>
  <c r="W97" i="2" s="1"/>
  <c r="S97" i="2"/>
  <c r="T97" i="2" s="1"/>
  <c r="V96" i="2"/>
  <c r="W96" i="2" s="1"/>
  <c r="S96" i="2"/>
  <c r="T96" i="2" s="1"/>
  <c r="V95" i="2"/>
  <c r="W95" i="2" s="1"/>
  <c r="S95" i="2"/>
  <c r="T95" i="2" s="1"/>
  <c r="V94" i="2"/>
  <c r="W94" i="2" s="1"/>
  <c r="S94" i="2"/>
  <c r="T94" i="2" s="1"/>
  <c r="V93" i="2"/>
  <c r="W93" i="2" s="1"/>
  <c r="S93" i="2"/>
  <c r="T93" i="2" s="1"/>
  <c r="V92" i="2"/>
  <c r="W92" i="2" s="1"/>
  <c r="S92" i="2"/>
  <c r="T92" i="2" s="1"/>
  <c r="V91" i="2"/>
  <c r="W91" i="2" s="1"/>
  <c r="S91" i="2"/>
  <c r="T91" i="2" s="1"/>
  <c r="V90" i="2"/>
  <c r="W90" i="2" s="1"/>
  <c r="S90" i="2"/>
  <c r="T90" i="2" s="1"/>
  <c r="V89" i="2"/>
  <c r="W89" i="2" s="1"/>
  <c r="S89" i="2"/>
  <c r="T89" i="2" s="1"/>
  <c r="V88" i="2"/>
  <c r="W88" i="2" s="1"/>
  <c r="S88" i="2"/>
  <c r="T88" i="2" s="1"/>
  <c r="V87" i="2"/>
  <c r="W87" i="2" s="1"/>
  <c r="S87" i="2"/>
  <c r="T87" i="2" s="1"/>
  <c r="V86" i="2"/>
  <c r="W86" i="2" s="1"/>
  <c r="S86" i="2"/>
  <c r="T86" i="2" s="1"/>
  <c r="V85" i="2"/>
  <c r="W85" i="2" s="1"/>
  <c r="S85" i="2"/>
  <c r="H85" i="2"/>
  <c r="V84" i="2"/>
  <c r="W84" i="2" s="1"/>
  <c r="S84" i="2"/>
  <c r="T84" i="2" s="1"/>
  <c r="V83" i="2"/>
  <c r="W83" i="2" s="1"/>
  <c r="S83" i="2"/>
  <c r="H83" i="2"/>
  <c r="F83" i="2"/>
  <c r="V82" i="2"/>
  <c r="W82" i="2" s="1"/>
  <c r="S82" i="2"/>
  <c r="T82" i="2" s="1"/>
  <c r="V81" i="2"/>
  <c r="W81" i="2" s="1"/>
  <c r="S81" i="2"/>
  <c r="T81" i="2" s="1"/>
  <c r="V80" i="2"/>
  <c r="W80" i="2" s="1"/>
  <c r="S80" i="2"/>
  <c r="T80" i="2" s="1"/>
  <c r="V79" i="2"/>
  <c r="W79" i="2" s="1"/>
  <c r="S79" i="2"/>
  <c r="T79" i="2" s="1"/>
  <c r="V78" i="2"/>
  <c r="W78" i="2" s="1"/>
  <c r="S78" i="2"/>
  <c r="H78" i="2"/>
  <c r="V77" i="2"/>
  <c r="W77" i="2" s="1"/>
  <c r="V76" i="2"/>
  <c r="W76" i="2" s="1"/>
  <c r="V75" i="2"/>
  <c r="W75" i="2" s="1"/>
  <c r="S75" i="2"/>
  <c r="V74" i="2"/>
  <c r="W74" i="2" s="1"/>
  <c r="V73" i="2"/>
  <c r="W73" i="2" s="1"/>
  <c r="V72" i="2"/>
  <c r="W72" i="2" s="1"/>
  <c r="V71" i="2"/>
  <c r="W71" i="2" s="1"/>
  <c r="V69" i="2"/>
  <c r="W69" i="2" s="1"/>
  <c r="V68" i="2"/>
  <c r="W68" i="2" s="1"/>
  <c r="S68" i="2"/>
  <c r="T68" i="2" s="1"/>
  <c r="V67" i="2"/>
  <c r="W67" i="2" s="1"/>
  <c r="S67" i="2"/>
  <c r="T67" i="2" s="1"/>
  <c r="V66" i="2"/>
  <c r="W66" i="2" s="1"/>
  <c r="S66" i="2"/>
  <c r="T66" i="2" s="1"/>
  <c r="V65" i="2"/>
  <c r="W65" i="2" s="1"/>
  <c r="S65" i="2"/>
  <c r="T65" i="2" s="1"/>
  <c r="V64" i="2"/>
  <c r="W64" i="2" s="1"/>
  <c r="S64" i="2"/>
  <c r="T64" i="2" s="1"/>
  <c r="V63" i="2"/>
  <c r="W63" i="2" s="1"/>
  <c r="S63" i="2"/>
  <c r="T63" i="2" s="1"/>
  <c r="V62" i="2"/>
  <c r="W62" i="2" s="1"/>
  <c r="S62" i="2"/>
  <c r="T62" i="2" s="1"/>
  <c r="V61" i="2"/>
  <c r="W61" i="2" s="1"/>
  <c r="S61" i="2"/>
  <c r="T61" i="2" s="1"/>
  <c r="V60" i="2"/>
  <c r="W60" i="2" s="1"/>
  <c r="S60" i="2"/>
  <c r="T60" i="2" s="1"/>
  <c r="V59" i="2"/>
  <c r="W59" i="2" s="1"/>
  <c r="S59" i="2"/>
  <c r="T59" i="2" s="1"/>
  <c r="V58" i="2"/>
  <c r="W58" i="2" s="1"/>
  <c r="S58" i="2"/>
  <c r="T58" i="2" s="1"/>
  <c r="V57" i="2"/>
  <c r="W57" i="2" s="1"/>
  <c r="S57" i="2"/>
  <c r="T57" i="2" s="1"/>
  <c r="V56" i="2"/>
  <c r="W56" i="2" s="1"/>
  <c r="S56" i="2"/>
  <c r="T56" i="2" s="1"/>
  <c r="V55" i="2"/>
  <c r="W55" i="2" s="1"/>
  <c r="S55" i="2"/>
  <c r="T55" i="2" s="1"/>
  <c r="V54" i="2"/>
  <c r="W54" i="2" s="1"/>
  <c r="S54" i="2"/>
  <c r="T54" i="2" s="1"/>
  <c r="V53" i="2"/>
  <c r="W53" i="2" s="1"/>
  <c r="S53" i="2"/>
  <c r="T53" i="2" s="1"/>
  <c r="V52" i="2"/>
  <c r="W52" i="2" s="1"/>
  <c r="S52" i="2"/>
  <c r="T52" i="2" s="1"/>
  <c r="V51" i="2"/>
  <c r="W51" i="2" s="1"/>
  <c r="S51" i="2"/>
  <c r="T51" i="2" s="1"/>
  <c r="V50" i="2"/>
  <c r="W50" i="2" s="1"/>
  <c r="S50" i="2"/>
  <c r="T50" i="2" s="1"/>
  <c r="V49" i="2"/>
  <c r="W49" i="2" s="1"/>
  <c r="S49" i="2"/>
  <c r="T49" i="2" s="1"/>
  <c r="V48" i="2"/>
  <c r="W48" i="2" s="1"/>
  <c r="S48" i="2"/>
  <c r="T48" i="2" s="1"/>
  <c r="V47" i="2"/>
  <c r="W47" i="2" s="1"/>
  <c r="S47" i="2"/>
  <c r="T47" i="2" s="1"/>
  <c r="V46" i="2"/>
  <c r="W46" i="2" s="1"/>
  <c r="S46" i="2"/>
  <c r="T46" i="2" s="1"/>
  <c r="V45" i="2"/>
  <c r="W45" i="2" s="1"/>
  <c r="S45" i="2"/>
  <c r="T45" i="2" s="1"/>
  <c r="V44" i="2"/>
  <c r="W44" i="2" s="1"/>
  <c r="S44" i="2"/>
  <c r="T44" i="2" s="1"/>
  <c r="V43" i="2"/>
  <c r="W43" i="2" s="1"/>
  <c r="S43" i="2"/>
  <c r="T43" i="2" s="1"/>
  <c r="V42" i="2"/>
  <c r="W42" i="2" s="1"/>
  <c r="S42" i="2"/>
  <c r="T42" i="2" s="1"/>
  <c r="V41" i="2"/>
  <c r="W41" i="2" s="1"/>
  <c r="S41" i="2"/>
  <c r="T41" i="2" s="1"/>
  <c r="V40" i="2"/>
  <c r="W40" i="2" s="1"/>
  <c r="S40" i="2"/>
  <c r="T40" i="2" s="1"/>
  <c r="V39" i="2"/>
  <c r="W39" i="2" s="1"/>
  <c r="S39" i="2"/>
  <c r="T39" i="2" s="1"/>
  <c r="V38" i="2"/>
  <c r="W38" i="2" s="1"/>
  <c r="S38" i="2"/>
  <c r="T38" i="2" s="1"/>
  <c r="V37" i="2"/>
  <c r="W37" i="2" s="1"/>
  <c r="S37" i="2"/>
  <c r="T37" i="2" s="1"/>
  <c r="V36" i="2"/>
  <c r="W36" i="2" s="1"/>
  <c r="S36" i="2"/>
  <c r="T36" i="2" s="1"/>
  <c r="V35" i="2"/>
  <c r="W35" i="2" s="1"/>
  <c r="S35" i="2"/>
  <c r="T35" i="2" s="1"/>
  <c r="V34" i="2"/>
  <c r="W34" i="2" s="1"/>
  <c r="S34" i="2"/>
  <c r="T34" i="2" s="1"/>
  <c r="V33" i="2"/>
  <c r="W33" i="2" s="1"/>
  <c r="S33" i="2"/>
  <c r="T33" i="2" s="1"/>
  <c r="V32" i="2"/>
  <c r="W32" i="2" s="1"/>
  <c r="S32" i="2"/>
  <c r="T32" i="2" s="1"/>
  <c r="V31" i="2"/>
  <c r="W31" i="2" s="1"/>
  <c r="S31" i="2"/>
  <c r="T31" i="2" s="1"/>
  <c r="V30" i="2"/>
  <c r="W30" i="2" s="1"/>
  <c r="S30" i="2"/>
  <c r="V29" i="2"/>
  <c r="W29" i="2" s="1"/>
  <c r="S29" i="2"/>
  <c r="V28" i="2"/>
  <c r="W28" i="2" s="1"/>
  <c r="S28" i="2"/>
  <c r="T28" i="2" s="1"/>
  <c r="V27" i="2"/>
  <c r="W27" i="2" s="1"/>
  <c r="V26" i="2"/>
  <c r="W26" i="2" s="1"/>
  <c r="V25" i="2"/>
  <c r="W25" i="2" s="1"/>
  <c r="V24" i="2"/>
  <c r="W24" i="2" s="1"/>
  <c r="V23" i="2"/>
  <c r="W23" i="2" s="1"/>
  <c r="V22" i="2"/>
  <c r="W22" i="2" s="1"/>
  <c r="V21" i="2"/>
  <c r="W21" i="2" s="1"/>
  <c r="V20" i="2"/>
  <c r="W20" i="2" s="1"/>
  <c r="S20" i="2"/>
  <c r="V19" i="2"/>
  <c r="W19" i="2" s="1"/>
  <c r="V18" i="2"/>
  <c r="W18" i="2" s="1"/>
  <c r="V17" i="2"/>
  <c r="W17" i="2" s="1"/>
  <c r="V16" i="2"/>
  <c r="W16" i="2" s="1"/>
  <c r="S16" i="2"/>
  <c r="V15" i="2"/>
  <c r="W15" i="2" s="1"/>
  <c r="S15" i="2"/>
  <c r="T15" i="2" s="1"/>
  <c r="V14" i="2"/>
  <c r="W14" i="2" s="1"/>
  <c r="V13" i="2"/>
  <c r="W13" i="2" s="1"/>
  <c r="V12" i="2"/>
  <c r="W12" i="2" s="1"/>
  <c r="V11" i="2"/>
  <c r="W11" i="2" s="1"/>
  <c r="S11" i="2"/>
  <c r="T11" i="2" s="1"/>
  <c r="V10" i="2"/>
  <c r="W10" i="2" s="1"/>
  <c r="V9" i="2"/>
  <c r="W9" i="2" s="1"/>
  <c r="V8" i="2"/>
  <c r="W8" i="2" s="1"/>
  <c r="V7" i="2"/>
  <c r="W7" i="2" s="1"/>
  <c r="V6" i="2"/>
  <c r="W6" i="2" s="1"/>
  <c r="V4" i="2"/>
  <c r="W4" i="2" s="1"/>
  <c r="V3" i="2"/>
  <c r="W3" i="2" s="1"/>
  <c r="S3" i="2"/>
  <c r="T3" i="2" s="1"/>
  <c r="V2" i="2"/>
  <c r="W2" i="2" s="1"/>
  <c r="M13" i="1"/>
  <c r="P7" i="1"/>
  <c r="M7" i="1"/>
  <c r="P6" i="1"/>
  <c r="M6" i="1"/>
  <c r="S21" i="2" l="1"/>
  <c r="T23" i="2"/>
  <c r="T20" i="2"/>
  <c r="S19" i="2"/>
  <c r="T19" i="2" s="1"/>
  <c r="T16" i="2"/>
  <c r="S6" i="2"/>
  <c r="T6" i="2" s="1"/>
  <c r="S71" i="2"/>
  <c r="S73" i="2"/>
  <c r="T73" i="2" s="1"/>
  <c r="S26" i="2"/>
  <c r="T26" i="2" s="1"/>
  <c r="S4" i="2"/>
  <c r="T4" i="2" s="1"/>
  <c r="S25" i="2"/>
  <c r="T25" i="2" s="1"/>
  <c r="S18" i="2"/>
  <c r="T18" i="2" s="1"/>
  <c r="S27" i="2"/>
  <c r="T27" i="2" s="1"/>
  <c r="S17" i="2"/>
  <c r="T17" i="2" s="1"/>
  <c r="S22" i="2"/>
  <c r="T22" i="2" s="1"/>
  <c r="T29" i="2"/>
  <c r="T21" i="2"/>
  <c r="T30" i="2"/>
  <c r="S8" i="2"/>
  <c r="T8" i="2" s="1"/>
  <c r="S7" i="2"/>
  <c r="T7" i="2" s="1"/>
  <c r="S9" i="2"/>
  <c r="T9" i="2" s="1"/>
  <c r="S69" i="2"/>
  <c r="T69" i="2" s="1"/>
  <c r="W5" i="4"/>
  <c r="T14" i="2"/>
  <c r="T76" i="2"/>
  <c r="T85" i="2"/>
  <c r="T72" i="2"/>
  <c r="T74" i="2"/>
  <c r="T2" i="2"/>
  <c r="T71" i="2"/>
  <c r="T70" i="2"/>
  <c r="W70" i="2"/>
  <c r="T83" i="2"/>
  <c r="T10" i="2"/>
  <c r="T75" i="2"/>
  <c r="T78" i="2"/>
</calcChain>
</file>

<file path=xl/sharedStrings.xml><?xml version="1.0" encoding="utf-8"?>
<sst xmlns="http://schemas.openxmlformats.org/spreadsheetml/2006/main" count="3164" uniqueCount="561">
  <si>
    <t>IDENTIFICAÇÃO DO ENTREVISTADOR (A)</t>
  </si>
  <si>
    <t>OFERTANTES E ARRANJOS INSTITUCIONAIS</t>
  </si>
  <si>
    <r>
      <rPr>
        <b/>
        <sz val="11"/>
        <color theme="1"/>
        <rFont val="Aptos Narrow"/>
      </rPr>
      <t xml:space="preserve">VENDAS DOS PRODUTOS </t>
    </r>
    <r>
      <rPr>
        <b/>
        <i/>
        <sz val="11"/>
        <color theme="1"/>
        <rFont val="Aptos Narrow"/>
      </rPr>
      <t>IN-NATURA</t>
    </r>
    <r>
      <rPr>
        <b/>
        <sz val="11"/>
        <color theme="1"/>
        <rFont val="Aptos Narrow"/>
      </rPr>
      <t xml:space="preserve"> OU BENEFICIADOS</t>
    </r>
  </si>
  <si>
    <t>Nº Questionário</t>
  </si>
  <si>
    <t>Data da entrevista</t>
  </si>
  <si>
    <t>Entrevistador(a)</t>
  </si>
  <si>
    <t>Nome e Apelido</t>
  </si>
  <si>
    <t>Localização</t>
  </si>
  <si>
    <t>Hora de início</t>
  </si>
  <si>
    <t>Quais produtos comercializa?</t>
  </si>
  <si>
    <t>Há quanto tempo negocia esses produtos?</t>
  </si>
  <si>
    <t>Conversão das unidades de medidas utilizadas</t>
  </si>
  <si>
    <t>Produtos in natura ou processados?</t>
  </si>
  <si>
    <t>Compra de cooperativas, associações ou coletivos?</t>
  </si>
  <si>
    <t>Quanto é entregue por produto por vez?</t>
  </si>
  <si>
    <t>Contínuo ou sazonal?</t>
  </si>
  <si>
    <t xml:space="preserve">Quanto é entregue por produto por vez? </t>
  </si>
  <si>
    <t>Unidade de referência</t>
  </si>
  <si>
    <t>Por produto vendido, quem fornece a embalagem?</t>
  </si>
  <si>
    <t>Qual o custo da embalagem por unidade (R$)?</t>
  </si>
  <si>
    <t>Hora do fim</t>
  </si>
  <si>
    <t>Dulce Maria</t>
  </si>
  <si>
    <t>Rogério</t>
  </si>
  <si>
    <t>08h36</t>
  </si>
  <si>
    <t>Castanha; Cumaru</t>
  </si>
  <si>
    <t>1 ano</t>
  </si>
  <si>
    <t>KG</t>
  </si>
  <si>
    <t>IN NATURA</t>
  </si>
  <si>
    <t>NÃO</t>
  </si>
  <si>
    <t>-</t>
  </si>
  <si>
    <t>SAZONAL</t>
  </si>
  <si>
    <t>FORNECEDOR TROCA  A SACA</t>
  </si>
  <si>
    <t>Agnaldo</t>
  </si>
  <si>
    <t>08h30</t>
  </si>
  <si>
    <t>Castanha ; Açai</t>
  </si>
  <si>
    <t>8 anos</t>
  </si>
  <si>
    <t>INDIVIDUAL</t>
  </si>
  <si>
    <t>CONTINUO</t>
  </si>
  <si>
    <t>Luiz e Mirelly</t>
  </si>
  <si>
    <t>Francisco Maurício Nascimento</t>
  </si>
  <si>
    <t>8h33</t>
  </si>
  <si>
    <t>Cumaru; Castanha; Andiroba</t>
  </si>
  <si>
    <t>20 anos</t>
  </si>
  <si>
    <t>IN NATURA; PROCESSADOS</t>
  </si>
  <si>
    <t xml:space="preserve">CONTÍNUO  </t>
  </si>
  <si>
    <t>CARRADA</t>
  </si>
  <si>
    <t>CAIBA</t>
  </si>
  <si>
    <t>Leandro / Leo</t>
  </si>
  <si>
    <t>18h07</t>
  </si>
  <si>
    <t>5 anos</t>
  </si>
  <si>
    <t xml:space="preserve"> KG</t>
  </si>
  <si>
    <t>EMPRESA</t>
  </si>
  <si>
    <t>--</t>
  </si>
  <si>
    <t xml:space="preserve"> Castanha</t>
  </si>
  <si>
    <t>SACA</t>
  </si>
  <si>
    <t>Marcelo</t>
  </si>
  <si>
    <t>Juraci Lima Rodrigues; Jocivaldo Lima</t>
  </si>
  <si>
    <t>Comunidade Sombra da Lua</t>
  </si>
  <si>
    <t>9h30</t>
  </si>
  <si>
    <t>Castanha ;Cumaru</t>
  </si>
  <si>
    <t>25 anos</t>
  </si>
  <si>
    <t>TONELADAS</t>
  </si>
  <si>
    <t>Eles compram e a Caiba devolve as sacas</t>
  </si>
  <si>
    <t>3 a saca da Castanha; 2,80 a do Cumaru</t>
  </si>
  <si>
    <t>Luiz; Marcelo; Mirelly</t>
  </si>
  <si>
    <t>Aluísio</t>
  </si>
  <si>
    <t>Alenquer</t>
  </si>
  <si>
    <t>11h</t>
  </si>
  <si>
    <t>Cumaru</t>
  </si>
  <si>
    <t>26 anos</t>
  </si>
  <si>
    <t>Castanha</t>
  </si>
  <si>
    <t>15 anos</t>
  </si>
  <si>
    <t>Cacau</t>
  </si>
  <si>
    <t>Isac</t>
  </si>
  <si>
    <t>18h10</t>
  </si>
  <si>
    <t>SEM CUSTO</t>
  </si>
  <si>
    <t>Nivaldo Bezerra de OLiveira</t>
  </si>
  <si>
    <t>Barragem</t>
  </si>
  <si>
    <t>16h20</t>
  </si>
  <si>
    <t>SUELI</t>
  </si>
  <si>
    <t>Luiz</t>
  </si>
  <si>
    <t>Antônio Graciano</t>
  </si>
  <si>
    <t>Oriximiná</t>
  </si>
  <si>
    <t>40 anos</t>
  </si>
  <si>
    <t>Hectalitro = 100 L = 60 kg = Saca = 1 medida = 5 latas de 20 L</t>
  </si>
  <si>
    <t>Negocia com a associação de Trombetas</t>
  </si>
  <si>
    <t>Daniela de Lima ; João Lima</t>
  </si>
  <si>
    <t>Castanha; Cumaru; Farinha de Mandioca, Bacaba, açai , Taperebá, Jatobá</t>
  </si>
  <si>
    <t>11 anos</t>
  </si>
  <si>
    <t>SACA = 60 KG</t>
  </si>
  <si>
    <t>Mundial, João e Dani</t>
  </si>
  <si>
    <t>sem custo</t>
  </si>
  <si>
    <t>Diogo Tavares Garcia</t>
  </si>
  <si>
    <t>Preciosa</t>
  </si>
  <si>
    <t>Cumarú</t>
  </si>
  <si>
    <t>4 anos</t>
  </si>
  <si>
    <t>NÂO</t>
  </si>
  <si>
    <t>6,00 a unidade</t>
  </si>
  <si>
    <t>Dulce</t>
  </si>
  <si>
    <t>Antônio Garcia Lima</t>
  </si>
  <si>
    <t>13 anos</t>
  </si>
  <si>
    <t>Carla empresta as sacas e fornece p/ os coletores</t>
  </si>
  <si>
    <t>Nº do questionário</t>
  </si>
  <si>
    <t>Produto</t>
  </si>
  <si>
    <t>Quais comunidades você compra os produtos?</t>
  </si>
  <si>
    <t>Todas estão na Mulata?</t>
  </si>
  <si>
    <t>O fornecedor produz ou revende?</t>
  </si>
  <si>
    <t xml:space="preserve">Qtd. proveniente da Mulata </t>
  </si>
  <si>
    <t xml:space="preserve">Unidade de referência </t>
  </si>
  <si>
    <t>Qtd comprada/ mês inverno (Jan-Jun)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</si>
  <si>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</si>
  <si>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</si>
  <si>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</si>
  <si>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</si>
  <si>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</si>
  <si>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</si>
  <si>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Indique nomes dos seus principais fornecedores</t>
  </si>
  <si>
    <t>preço</t>
  </si>
  <si>
    <t>Valor</t>
  </si>
  <si>
    <t>Serra Azul ; Cupim</t>
  </si>
  <si>
    <t>PRODUZ</t>
  </si>
  <si>
    <t xml:space="preserve"> CASINHA DE RECEBIMENTO DA CASTANHA</t>
  </si>
  <si>
    <t>Bode ; Benevam; Marliene</t>
  </si>
  <si>
    <t xml:space="preserve"> NA PRÓPRIA  RESIDÊNCIA OU BUSCA</t>
  </si>
  <si>
    <t>Renato</t>
  </si>
  <si>
    <t>REVENDE</t>
  </si>
  <si>
    <t>Castanheiros</t>
  </si>
  <si>
    <t>Açai</t>
  </si>
  <si>
    <t>PDS Serra Azul</t>
  </si>
  <si>
    <t>NA CASA DO ATRAVESSADOR</t>
  </si>
  <si>
    <t>R. Feliciano</t>
  </si>
  <si>
    <t>ENTREGA NA RESIDÊNCIA</t>
  </si>
  <si>
    <t>Benevan</t>
  </si>
  <si>
    <t>R. Djalma</t>
  </si>
  <si>
    <t>SIM</t>
  </si>
  <si>
    <t>Barbicha</t>
  </si>
  <si>
    <t>R. Bluetimer</t>
  </si>
  <si>
    <t>Gadelha</t>
  </si>
  <si>
    <t>Pico do Jacaré</t>
  </si>
  <si>
    <t>Magno</t>
  </si>
  <si>
    <t>Ramal do Catitu</t>
  </si>
  <si>
    <t>Pessoal dos Feios</t>
  </si>
  <si>
    <t>Mulata - R. Djalma</t>
  </si>
  <si>
    <t>Denis</t>
  </si>
  <si>
    <t>Andiroba</t>
  </si>
  <si>
    <t>Mulata</t>
  </si>
  <si>
    <t>L</t>
  </si>
  <si>
    <t>Copaíba</t>
  </si>
  <si>
    <t>Pacoval; Barragem; Agua Azul; Morro Bate Roupa</t>
  </si>
  <si>
    <t>Ramal Bom Jesus; Isaque; Róseo; Oracilho; Raimundo, Zé Neném</t>
  </si>
  <si>
    <t>Zé neném; Roséo; Oracilho; Raimundo</t>
  </si>
  <si>
    <t>Jauari/Camburão</t>
  </si>
  <si>
    <t>CAMINHÃO</t>
  </si>
  <si>
    <t xml:space="preserve">MIGUEL </t>
  </si>
  <si>
    <t>Novo Progresso/Alenquer</t>
  </si>
  <si>
    <t>ONIBUS</t>
  </si>
  <si>
    <t>EDINALDO</t>
  </si>
  <si>
    <t>Pacoval</t>
  </si>
  <si>
    <t>TIAGO</t>
  </si>
  <si>
    <t>Palhal</t>
  </si>
  <si>
    <t>ELVES</t>
  </si>
  <si>
    <t>Joarí</t>
  </si>
  <si>
    <t>ISAQUE</t>
  </si>
  <si>
    <t>Mamiá</t>
  </si>
  <si>
    <t>Produz e Revende</t>
  </si>
  <si>
    <t>NO DEPOSITO</t>
  </si>
  <si>
    <t>Jota</t>
  </si>
  <si>
    <t>Fé em Deus</t>
  </si>
  <si>
    <t>Doquinha</t>
  </si>
  <si>
    <t>Bela Vista (Mulata)</t>
  </si>
  <si>
    <t>ÔNIBUS OU CAMINHÃO</t>
  </si>
  <si>
    <t>Aldemarzinho</t>
  </si>
  <si>
    <t>São domingos (Obidos)</t>
  </si>
  <si>
    <t>Produz</t>
  </si>
  <si>
    <t>Raimundinho</t>
  </si>
  <si>
    <t>Cúrua - Vila Liberdade</t>
  </si>
  <si>
    <t>Pelado</t>
  </si>
  <si>
    <t>Patiazal - Mamiá</t>
  </si>
  <si>
    <t>ÔNIBUS</t>
  </si>
  <si>
    <t>Dinamar</t>
  </si>
  <si>
    <t>Ingá - Pacoval</t>
  </si>
  <si>
    <t>Antônio</t>
  </si>
  <si>
    <t>Bacabal</t>
  </si>
  <si>
    <t>Gabriel</t>
  </si>
  <si>
    <t>BUSCAM NA COMUNIDADE/FRETE CAMINHÃO</t>
  </si>
  <si>
    <t>Antoônio Guedes</t>
  </si>
  <si>
    <t>Mamiá (50% mulata)</t>
  </si>
  <si>
    <t>Fé em Deus/Alenquer</t>
  </si>
  <si>
    <t>São Domingos (50% mulata)</t>
  </si>
  <si>
    <t>Cuminã (60% mulata)</t>
  </si>
  <si>
    <t>Valdir cabeça Branca</t>
  </si>
  <si>
    <t>São Domingos (60% mulata)</t>
  </si>
  <si>
    <t>Mazinho</t>
  </si>
  <si>
    <t>Areia Branca</t>
  </si>
  <si>
    <t>CAMINHÃO E ONIBUS</t>
  </si>
  <si>
    <t>Raimundo</t>
  </si>
  <si>
    <t>Patrajal - Mulata</t>
  </si>
  <si>
    <t>Canaã - Alenquer - Mulata</t>
  </si>
  <si>
    <t>Zeca</t>
  </si>
  <si>
    <t>Cruzeirão - Óbidos</t>
  </si>
  <si>
    <t>Bi</t>
  </si>
  <si>
    <t>Vila Liberdade/ Vila Curuará</t>
  </si>
  <si>
    <t>Ingá/Pacoval</t>
  </si>
  <si>
    <t>Que tem</t>
  </si>
  <si>
    <t>Farol - Alenquer - Mulata</t>
  </si>
  <si>
    <t>Valdemar</t>
  </si>
  <si>
    <t>Vila Campo de Pilar</t>
  </si>
  <si>
    <t>Raimundo / Xixica</t>
  </si>
  <si>
    <t>Camburão - Alenquer</t>
  </si>
  <si>
    <t>Larissa</t>
  </si>
  <si>
    <t>Vanessa</t>
  </si>
  <si>
    <t>Bela Vista - Alenquer</t>
  </si>
  <si>
    <t>Zé Vilmar</t>
  </si>
  <si>
    <t>Arumanzal - Alenquer</t>
  </si>
  <si>
    <t>Currentela - Alenquer</t>
  </si>
  <si>
    <t>Clóvis</t>
  </si>
  <si>
    <t>Tiago</t>
  </si>
  <si>
    <t>Bom Princípio - Alenquer</t>
  </si>
  <si>
    <t>Manoel/Dalberto</t>
  </si>
  <si>
    <t>Mamiá( São Domingos)</t>
  </si>
  <si>
    <t>Dinha</t>
  </si>
  <si>
    <t>Ramal do Limão</t>
  </si>
  <si>
    <t>LOCAL/ CAMINHÃO</t>
  </si>
  <si>
    <t>Riva</t>
  </si>
  <si>
    <t>Teca</t>
  </si>
  <si>
    <t>Nova União ( Alenquer)</t>
  </si>
  <si>
    <t>LOCAL</t>
  </si>
  <si>
    <t>Francisco</t>
  </si>
  <si>
    <t>C.Cuitel</t>
  </si>
  <si>
    <t>Nel</t>
  </si>
  <si>
    <t>C. Porção (Prox. ao Camburão</t>
  </si>
  <si>
    <t>Santana</t>
  </si>
  <si>
    <t>C. Andirobal</t>
  </si>
  <si>
    <t>Luciana</t>
  </si>
  <si>
    <t>Deco</t>
  </si>
  <si>
    <t>Cumaru Verde</t>
  </si>
  <si>
    <t>Nazira</t>
  </si>
  <si>
    <t>Manoel</t>
  </si>
  <si>
    <t>C. Pixuna (Óbidos)</t>
  </si>
  <si>
    <t>Peroba</t>
  </si>
  <si>
    <t>C. Apolinário (Curuá)</t>
  </si>
  <si>
    <t>C. Boa Àgua (Alenquer)</t>
  </si>
  <si>
    <t>Aristide</t>
  </si>
  <si>
    <t>C. Sacrifício</t>
  </si>
  <si>
    <t>Nildo</t>
  </si>
  <si>
    <t>C. Massaranduba (Prox. ao camburão)</t>
  </si>
  <si>
    <t>Deni</t>
  </si>
  <si>
    <t>C. São Paulo - Alenquer</t>
  </si>
  <si>
    <t>Cléber II</t>
  </si>
  <si>
    <t>Cidade de Curuá</t>
  </si>
  <si>
    <t>Delma</t>
  </si>
  <si>
    <t>Cumarú Seco</t>
  </si>
  <si>
    <t>Serra Azul</t>
  </si>
  <si>
    <t>Diva</t>
  </si>
  <si>
    <t>Àgua Azul( R. Bacabal)</t>
  </si>
  <si>
    <t>Lauro Filho</t>
  </si>
  <si>
    <t>ÁGUA AZUL</t>
  </si>
  <si>
    <t>Bebê</t>
  </si>
  <si>
    <t>Jadson</t>
  </si>
  <si>
    <t>PDS Paraíso</t>
  </si>
  <si>
    <t>Francisco Rodrigues (Chico Painho)</t>
  </si>
  <si>
    <t>Nova União</t>
  </si>
  <si>
    <t>Adriana</t>
  </si>
  <si>
    <t>Mamiá(Óbidos, Cruzeirão) Cuminã (Alenquer) ; São Domingos (Cruzeirão)</t>
  </si>
  <si>
    <t>Ramal da barragem</t>
  </si>
  <si>
    <t>CASTANHAL NA BEIRA DO RIO</t>
  </si>
  <si>
    <t>Neném, Valdiclei</t>
  </si>
  <si>
    <t>Paulo, Nena; Anderson</t>
  </si>
  <si>
    <t>Ramal do 7</t>
  </si>
  <si>
    <t>Ramal do catitu</t>
  </si>
  <si>
    <t>Ramal do jacaré</t>
  </si>
  <si>
    <t>Barragem Mulata</t>
  </si>
  <si>
    <t>PORTO DO CASTANHAL</t>
  </si>
  <si>
    <t>Natal , Oscar, Anderson</t>
  </si>
  <si>
    <t>Não é fixo</t>
  </si>
  <si>
    <t>Barragem (áreas prox)</t>
  </si>
  <si>
    <t>Oscar, Natal, Anderson, Naldinho , Anjo, Neném, Jurinha</t>
  </si>
  <si>
    <t>Erepecuru</t>
  </si>
  <si>
    <t>NA BALSA</t>
  </si>
  <si>
    <t>Elson</t>
  </si>
  <si>
    <t>Abeú (Trombetas)</t>
  </si>
  <si>
    <t>BALSA NO TROMBETAS</t>
  </si>
  <si>
    <t>Amadeu</t>
  </si>
  <si>
    <t>Trombetas (Erepecu)</t>
  </si>
  <si>
    <t>BARCO</t>
  </si>
  <si>
    <t>Augusto</t>
  </si>
  <si>
    <t>Croval (Bcc)</t>
  </si>
  <si>
    <t>PRODUZ E REVENDE</t>
  </si>
  <si>
    <t>CAMINHÃO (20 por Hct)</t>
  </si>
  <si>
    <t>Giba</t>
  </si>
  <si>
    <t>Aldo</t>
  </si>
  <si>
    <t>Baluta</t>
  </si>
  <si>
    <t>Croval</t>
  </si>
  <si>
    <t>Carlinho Branco</t>
  </si>
  <si>
    <t>Jair</t>
  </si>
  <si>
    <t>Sapucua</t>
  </si>
  <si>
    <t>FRETE BALSA - 10,00</t>
  </si>
  <si>
    <t>Juca</t>
  </si>
  <si>
    <t>Lábrea (AM)</t>
  </si>
  <si>
    <t>BARCO E ESTIVO - 21 por Hct</t>
  </si>
  <si>
    <t>Elizangela</t>
  </si>
  <si>
    <t>Manaus (Porto)</t>
  </si>
  <si>
    <t>Autais (AM)</t>
  </si>
  <si>
    <t>Charles</t>
  </si>
  <si>
    <t>Tapaua (AM)</t>
  </si>
  <si>
    <t>Mezaque</t>
  </si>
  <si>
    <t>Arapuá (Purus - AM)</t>
  </si>
  <si>
    <t>Bira Melo</t>
  </si>
  <si>
    <t>Boca do Acre</t>
  </si>
  <si>
    <t>França (Capitalista)</t>
  </si>
  <si>
    <t>Na Propria residencia</t>
  </si>
  <si>
    <t>Ramal dos varas - obidos</t>
  </si>
  <si>
    <t>Nilson</t>
  </si>
  <si>
    <t>Outros</t>
  </si>
  <si>
    <t>Outros da Turma</t>
  </si>
  <si>
    <t>Joao e Dani</t>
  </si>
  <si>
    <t>Cumaru verde</t>
  </si>
  <si>
    <t>sim</t>
  </si>
  <si>
    <t>Não</t>
  </si>
  <si>
    <t>Casa Diogo</t>
  </si>
  <si>
    <t>Everaldo</t>
  </si>
  <si>
    <t>Hugo</t>
  </si>
  <si>
    <t>Flávio</t>
  </si>
  <si>
    <t>Craval</t>
  </si>
  <si>
    <t>Carlito</t>
  </si>
  <si>
    <t>KM 10 BEC</t>
  </si>
  <si>
    <t>Zé equipe</t>
  </si>
  <si>
    <t>Anderson</t>
  </si>
  <si>
    <t>Janderson</t>
  </si>
  <si>
    <t>Waldo</t>
  </si>
  <si>
    <t>Lindomar</t>
  </si>
  <si>
    <t>Jaramacarú</t>
  </si>
  <si>
    <t>Ney</t>
  </si>
  <si>
    <t>Leia</t>
  </si>
  <si>
    <t>Thiago</t>
  </si>
  <si>
    <t>Goulart</t>
  </si>
  <si>
    <t>Catia</t>
  </si>
  <si>
    <t>Ronaldo</t>
  </si>
  <si>
    <t>Produção própria</t>
  </si>
  <si>
    <t>seu zebinha</t>
  </si>
  <si>
    <t>Murta</t>
  </si>
  <si>
    <t>Saca</t>
  </si>
  <si>
    <t>Própria residência</t>
  </si>
  <si>
    <t>Bidiel</t>
  </si>
  <si>
    <t>Nathan</t>
  </si>
  <si>
    <t>Tobias</t>
  </si>
  <si>
    <t>Zé Castanha</t>
  </si>
  <si>
    <t>Bísai</t>
  </si>
  <si>
    <t>Jeremias</t>
  </si>
  <si>
    <t>Josué</t>
  </si>
  <si>
    <t>Giorani</t>
  </si>
  <si>
    <t>Barridani</t>
  </si>
  <si>
    <t>Oseias</t>
  </si>
  <si>
    <t>Chico Sousa</t>
  </si>
  <si>
    <t>Preço médio</t>
  </si>
  <si>
    <t>Valor Total</t>
  </si>
  <si>
    <t>Nº de intermediários que disseram que provém da Mulata</t>
  </si>
  <si>
    <t>Há quanto tempo negocia com cada comprador?</t>
  </si>
  <si>
    <t>Qtd vendida/ mês inverno (Jan-Jun)</t>
  </si>
  <si>
    <t>Preço médio de compra (Jan-Jun) EM CASO DE COMISSÃO</t>
  </si>
  <si>
    <t>Qtd vendida/ mês verão (Jul-Dez)</t>
  </si>
  <si>
    <t>Preço médio de compra (Jul-Dez) EM CASO DE COMISSÃO</t>
  </si>
  <si>
    <t>Quem paga o frete?</t>
  </si>
  <si>
    <t>Qual o valor do frete por lote (R$)?</t>
  </si>
  <si>
    <t>Qual transporte utilizado?</t>
  </si>
  <si>
    <t>José Neto - Manaus</t>
  </si>
  <si>
    <t>CASA MONTE ALEGRE</t>
  </si>
  <si>
    <t>JOSÉ NETO</t>
  </si>
  <si>
    <t>Caiba</t>
  </si>
  <si>
    <t>EMPRESA ALENQUER</t>
  </si>
  <si>
    <t>Gerson</t>
  </si>
  <si>
    <t>BALSA</t>
  </si>
  <si>
    <t>Compradores de Monte Alegre</t>
  </si>
  <si>
    <t>MONTE ALEGRE</t>
  </si>
  <si>
    <t>%</t>
  </si>
  <si>
    <t>ENTREGUE NO BARCO</t>
  </si>
  <si>
    <t>INTERMEDIÁRIO</t>
  </si>
  <si>
    <t>Denise</t>
  </si>
  <si>
    <t>2 anos</t>
  </si>
  <si>
    <t>CAMINHÃO; ÔNIBUS</t>
  </si>
  <si>
    <t>Caiba; Gracinaldo</t>
  </si>
  <si>
    <t>3 anos</t>
  </si>
  <si>
    <t>COMUNIDADE</t>
  </si>
  <si>
    <t>TRANSPORTE PRÓPRIO</t>
  </si>
  <si>
    <t>Marcos Jaime/Obidos/CAIBA</t>
  </si>
  <si>
    <t>EMPRESA BUSCA NO ARMAZEM OU NA BALSA</t>
  </si>
  <si>
    <t>BALSA/CAMINHÃO</t>
  </si>
  <si>
    <t>Mauro - Novo Progresso/ Nutre Comércio</t>
  </si>
  <si>
    <t>12 anos</t>
  </si>
  <si>
    <t>BALSA / STM/CARRETA</t>
  </si>
  <si>
    <t>Balsa - 4 por saca; Carreta - 7 por saca</t>
  </si>
  <si>
    <t>BALSA/CARRETA</t>
  </si>
  <si>
    <t>Eduardo Matoso - KAAP/São Paulo</t>
  </si>
  <si>
    <t>9 anos</t>
  </si>
  <si>
    <t>Donald Francês/ Mundial Óbidos</t>
  </si>
  <si>
    <t>7 anos</t>
  </si>
  <si>
    <t>MUNDIAL EM ÓBIDOS</t>
  </si>
  <si>
    <t>2500 - 160 sacas</t>
  </si>
  <si>
    <t>Agmar - Manaus</t>
  </si>
  <si>
    <t>BARCO P/ MANAUS</t>
  </si>
  <si>
    <t>20 por saca</t>
  </si>
  <si>
    <t>CAMINHÃO/BALSA</t>
  </si>
  <si>
    <t>Farias - Espirito Santo</t>
  </si>
  <si>
    <t>BALSA P/ STM</t>
  </si>
  <si>
    <t>Matosa São Paulo</t>
  </si>
  <si>
    <t>14 anos</t>
  </si>
  <si>
    <t>PORTO</t>
  </si>
  <si>
    <t>Mundial Exportação</t>
  </si>
  <si>
    <t>Fortaleza</t>
  </si>
  <si>
    <t>18 anos</t>
  </si>
  <si>
    <t>Edildo Belém</t>
  </si>
  <si>
    <t>SANTARÉM</t>
  </si>
  <si>
    <t>DEPÓSITO</t>
  </si>
  <si>
    <t>ÓBIDOS</t>
  </si>
  <si>
    <t>Belo Horizonte</t>
  </si>
  <si>
    <t>Leandro</t>
  </si>
  <si>
    <t>COMPRADOR</t>
  </si>
  <si>
    <t>TRATOR / CAMINHÃO</t>
  </si>
  <si>
    <t>Sueli</t>
  </si>
  <si>
    <t>R$</t>
  </si>
  <si>
    <t>5 POR SACA</t>
  </si>
  <si>
    <t>CARRO, TRATOR , CAMINHÃO</t>
  </si>
  <si>
    <t>Florenzano</t>
  </si>
  <si>
    <t>33 anos</t>
  </si>
  <si>
    <t>Hct</t>
  </si>
  <si>
    <t>Organiza  a Logistica, mas não é responsavel pelo pgmento</t>
  </si>
  <si>
    <t>USINA</t>
  </si>
  <si>
    <t>Claudio Albuquerque - Óbidos</t>
  </si>
  <si>
    <t>Caiba - Gracinaldo</t>
  </si>
  <si>
    <t>Moto Propria</t>
  </si>
  <si>
    <t>Cumarú seco</t>
  </si>
  <si>
    <t>Ele vai ate óbidos</t>
  </si>
  <si>
    <t>Carla- Oriximiná</t>
  </si>
  <si>
    <t>Sacas</t>
  </si>
  <si>
    <t>Entrega para Carla</t>
  </si>
  <si>
    <t>150 por saca</t>
  </si>
  <si>
    <t>Burro/ caminhão</t>
  </si>
  <si>
    <t>Quantidade</t>
  </si>
  <si>
    <t>Quant</t>
  </si>
  <si>
    <t>valor</t>
  </si>
  <si>
    <t>Negociantes Locais</t>
  </si>
  <si>
    <t xml:space="preserve">Negociantes Atacadista </t>
  </si>
  <si>
    <t>Industria processamento</t>
  </si>
  <si>
    <t>Industria produto final</t>
  </si>
  <si>
    <t>PDS Serra Azul --&gt;</t>
  </si>
  <si>
    <t>Preço</t>
  </si>
  <si>
    <t>Indust.proc --&gt;</t>
  </si>
  <si>
    <t>Indus. Final --&gt;</t>
  </si>
  <si>
    <t>Dulce/Nelson/Elen</t>
  </si>
  <si>
    <t>José, Jonas, Siron e Enoque</t>
  </si>
  <si>
    <t>SACA ; KG; L</t>
  </si>
  <si>
    <t>5 L = 1 SACA SACA = 70 KG</t>
  </si>
  <si>
    <t>NÃO TEM</t>
  </si>
  <si>
    <t>Castanha e Cumaru</t>
  </si>
  <si>
    <t>José -15 anos Siron -10 anos</t>
  </si>
  <si>
    <t>Jaramacaru (Óbidos)</t>
  </si>
  <si>
    <t xml:space="preserve">Jaramacaru, Alambique 1, Alambique 2, Rio Verde, Mutar, Cachorro Sentado, 3 vadios, Copaiba, Do nove, Tabocal e Doze </t>
  </si>
  <si>
    <t>São Pedro, São Vicente, Agua Branca, Mamiazinho, Vila seca, Carapana e Monte Muria</t>
  </si>
  <si>
    <t>Eles buscam</t>
  </si>
  <si>
    <t>Jacivan, Chico, Thiago, João, Latifane, Paulo, Cleidson, Sola</t>
  </si>
  <si>
    <t>Compradores Aleatorios</t>
  </si>
  <si>
    <t>Manel - Florenzano</t>
  </si>
  <si>
    <t>É levado até a cidade</t>
  </si>
  <si>
    <t>O comprador</t>
  </si>
  <si>
    <t>100 por saca</t>
  </si>
  <si>
    <t>10 o kg</t>
  </si>
  <si>
    <t>Dulce / Nelson</t>
  </si>
  <si>
    <t>Josias (Josa)</t>
  </si>
  <si>
    <t>Castanha, cumaru, copaiba e andiroba.</t>
  </si>
  <si>
    <t>As empresas Caiba e Florenzano</t>
  </si>
  <si>
    <t>Manel</t>
  </si>
  <si>
    <t>Rosi</t>
  </si>
  <si>
    <t>10 anos</t>
  </si>
  <si>
    <t>Faz a entrega ou eles buscam</t>
  </si>
  <si>
    <t xml:space="preserve">O vendedor paga, quando vem buscar eles descontam. </t>
  </si>
  <si>
    <t>Caminhão</t>
  </si>
  <si>
    <t>Cidade de Oriximiná</t>
  </si>
  <si>
    <t>Manoel Farias Albuquerque</t>
  </si>
  <si>
    <t>6 anos</t>
  </si>
  <si>
    <t>SACA = 70 KG</t>
  </si>
  <si>
    <t>Sim, associação do Itapecuru</t>
  </si>
  <si>
    <t>SACA ; KG</t>
  </si>
  <si>
    <t>A da castanha é o Florenzano; E o do cumaru é comprado.</t>
  </si>
  <si>
    <t>3,50 a und</t>
  </si>
  <si>
    <t>Guilherme (Ligação c/ Aluizio de Alenquer)</t>
  </si>
  <si>
    <t>30 por saca</t>
  </si>
  <si>
    <t>É buscado no depósito</t>
  </si>
  <si>
    <t>No barco</t>
  </si>
  <si>
    <t>12 por saca</t>
  </si>
  <si>
    <t>Caminhão e Barco</t>
  </si>
  <si>
    <t>O intermadiário</t>
  </si>
  <si>
    <t>Copaiba</t>
  </si>
  <si>
    <t>Tracuá, Murta, Rio verde e Dos doze</t>
  </si>
  <si>
    <t>Jaramacaru, Mamiá e Dos três</t>
  </si>
  <si>
    <t>Dos dez e Babaçu</t>
  </si>
  <si>
    <t>0,85 o kg na mata</t>
  </si>
  <si>
    <t>1,14 o kg fora</t>
  </si>
  <si>
    <t xml:space="preserve">Soares, Rainan, Estone, Francinildo, Tiago, Miguel, Jadson, Barbudo </t>
  </si>
  <si>
    <t>Franci, Neném, Renan, Neguinho, Benildo, Renilson</t>
  </si>
  <si>
    <t>Roselene, Flávio, Diogo, Hugo, aldelene, marinete, natan, catita, Gilson, marabá</t>
  </si>
  <si>
    <t>Luis/Nelson/Dulce/Lucas/Elen</t>
  </si>
  <si>
    <t>Raquel da Silva (Cacau)</t>
  </si>
  <si>
    <t>Jaramacaru</t>
  </si>
  <si>
    <t>Rio verde (Obidos), Murta (orixi), Alambique (orixi), 3 vadios (obidos), Tucandeira (orixi), copaíba (orixi), babaçu (orixi), jaramacaru (obidos), campos gerais (obidos)</t>
  </si>
  <si>
    <t>Fora da flota Trombetas</t>
  </si>
  <si>
    <t>Antonio Aguiar , Valdo, João, Francidalva, Carlão, Chico, Arildo, Iracildo, mocinnha, nivaldo, isac, roginho, Adailton, careca e compradores avulsos que são mais de 100.</t>
  </si>
  <si>
    <t>KG - Seco</t>
  </si>
  <si>
    <t>KG - Verde</t>
  </si>
  <si>
    <t>Geralmente é deixado no depósito</t>
  </si>
  <si>
    <t>Não tem</t>
  </si>
  <si>
    <t>Medida; Saca; KG</t>
  </si>
  <si>
    <t xml:space="preserve">O intermediário que compra no cumaru; Na castanha, eles fornecem. </t>
  </si>
  <si>
    <t>2,50 a und</t>
  </si>
  <si>
    <t xml:space="preserve">Mundial </t>
  </si>
  <si>
    <t>Kaapi</t>
  </si>
  <si>
    <t>Na cidade</t>
  </si>
  <si>
    <t>Ela vai buscar</t>
  </si>
  <si>
    <t>Envia p/ Santarém</t>
  </si>
  <si>
    <t>25 a saca</t>
  </si>
  <si>
    <t>Até Obidos é fornecedor; A partir de Stm é eles</t>
  </si>
  <si>
    <t>Busca na mata; E os avulsos levam na casa dela tbm</t>
  </si>
  <si>
    <t>Manel, Franci, Rosalba, Rosana, Antonio, Carlito, Erê, Fanfaro, Lindomar, Raimundo, Manoel (Seu negão)</t>
  </si>
  <si>
    <t>Pui, Raimundo, Rosalba</t>
  </si>
  <si>
    <t>Jaramacaru/Mulata</t>
  </si>
  <si>
    <t>1 Medida = 1 Saca = 70 Kg</t>
  </si>
  <si>
    <t>15 por saca</t>
  </si>
  <si>
    <t xml:space="preserve">Não especificou </t>
  </si>
  <si>
    <t>Código (Tipo/Local/N°)</t>
  </si>
  <si>
    <t>SACA = 60KG</t>
  </si>
  <si>
    <t>SACA = 70KG</t>
  </si>
  <si>
    <t>1 a 2 sacas</t>
  </si>
  <si>
    <t>PDS; Ramal Djalma; Flota Parú</t>
  </si>
  <si>
    <t>NA CIDADES: NAS BALSAS E BARCOS</t>
  </si>
  <si>
    <t>Monte Alegre/PDS Serra Azul</t>
  </si>
  <si>
    <t>Não citado</t>
  </si>
  <si>
    <t>BALSA DO TAPARÁ/STM</t>
  </si>
  <si>
    <t>ATRAVESSADORES</t>
  </si>
  <si>
    <t>Marcelo; Rosinelson</t>
  </si>
  <si>
    <t>SACA = 55 KG</t>
  </si>
  <si>
    <t>1 Hecto= 1 saca</t>
  </si>
  <si>
    <t>Alenquer/Barragem</t>
  </si>
  <si>
    <t>Média dos preços + 7%/60 (Na comissão)</t>
  </si>
  <si>
    <t>Média dos preços + 30/60 (Na comissão)</t>
  </si>
  <si>
    <t>Preço + 30/60 (Na comissão)</t>
  </si>
  <si>
    <t>KG (SECO)</t>
  </si>
  <si>
    <t>KG (VERDE)</t>
  </si>
  <si>
    <t>Jamaracaru (Óbidos)</t>
  </si>
  <si>
    <t>Josinaldo e Fabiane</t>
  </si>
  <si>
    <t>Jéfé e Franço</t>
  </si>
  <si>
    <t>SACA = 60 KG = 5 latas</t>
  </si>
  <si>
    <t>Uma parte</t>
  </si>
  <si>
    <t xml:space="preserve">Na industria </t>
  </si>
  <si>
    <t>113 por saca</t>
  </si>
  <si>
    <t>A caiba vai até eles</t>
  </si>
  <si>
    <t>Sem frete</t>
  </si>
  <si>
    <t>Carro próprio</t>
  </si>
  <si>
    <t>Eles vão de carro até la</t>
  </si>
  <si>
    <t>Ele mesmo</t>
  </si>
  <si>
    <t>Sim</t>
  </si>
  <si>
    <t>Preciosa (Óbidos)</t>
  </si>
  <si>
    <t>12,5 em média por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</si>
</sst>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"/>
    <numFmt numFmtId="165" formatCode="[$R$ -416]#,##0.00"/>
  </numFmts>
  <fonts count="16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</font>
    <font>
      <sz val="11"/>
      <name val="Aptos Narrow"/>
    </font>
    <font>
      <sz val="11"/>
      <color theme="1"/>
      <name val="Aptos Narrow"/>
    </font>
    <font>
      <sz val="11"/>
      <color theme="1"/>
      <name val="Arial"/>
    </font>
    <font>
      <sz val="11"/>
      <color rgb="FF000000"/>
      <name val="Arial"/>
    </font>
    <font>
      <b/>
      <sz val="11"/>
      <color theme="1"/>
      <name val="Arial"/>
    </font>
    <font>
      <sz val="11"/>
      <color theme="1"/>
      <name val="Aptos Narrow"/>
    </font>
    <font>
      <sz val="11"/>
      <color theme="1"/>
      <name val="Arial"/>
    </font>
    <font>
      <sz val="11"/>
      <color theme="1"/>
      <name val="Aptos Narrow"/>
      <scheme val="minor"/>
    </font>
    <font>
      <b/>
      <i/>
      <sz val="11"/>
      <color theme="1"/>
      <name val="Aptos Narrow"/>
    </font>
    <font>
      <sz val="11"/>
      <color theme="1"/>
      <name val="Ariaç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C1F0C8"/>
        <bgColor rgb="FFC1F0C8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0000"/>
      </patternFill>
    </fill>
  </fills>
  <borders count="1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</borders>
  <cellStyleXfs count="1">
    <xf numFmtId="0" fontId="0" fillId="0" borderId="0"/>
  </cellStyleXfs>
  <cellXfs count="142">
    <xf numFmtId="0" fontId="0" fillId="0" borderId="0" xfId="0"/>
    <xf numFmtId="0" fontId="4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14" fontId="5" fillId="0" borderId="4" xfId="0" applyNumberFormat="1" applyFont="1" applyBorder="1" applyAlignment="1">
      <alignment horizontal="center"/>
    </xf>
    <xf numFmtId="0" fontId="5" fillId="0" borderId="4" xfId="0" applyFont="1" applyBorder="1" applyAlignment="1">
      <alignment horizont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0" xfId="0" applyFont="1"/>
    <xf numFmtId="14" fontId="5" fillId="0" borderId="4" xfId="0" applyNumberFormat="1" applyFont="1" applyBorder="1" applyAlignment="1">
      <alignment horizontal="center" vertical="center"/>
    </xf>
    <xf numFmtId="20" fontId="5" fillId="0" borderId="4" xfId="0" applyNumberFormat="1" applyFont="1" applyBorder="1" applyAlignment="1">
      <alignment horizontal="center" vertical="center"/>
    </xf>
    <xf numFmtId="0" fontId="4" fillId="0" borderId="4" xfId="0" applyFont="1" applyBorder="1"/>
    <xf numFmtId="0" fontId="2" fillId="0" borderId="0" xfId="0" applyFont="1" applyAlignment="1">
      <alignment horizontal="center" vertical="center" wrapText="1"/>
    </xf>
    <xf numFmtId="1" fontId="5" fillId="0" borderId="0" xfId="0" applyNumberFormat="1" applyFont="1"/>
    <xf numFmtId="0" fontId="5" fillId="3" borderId="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/>
    </xf>
    <xf numFmtId="2" fontId="5" fillId="4" borderId="4" xfId="0" applyNumberFormat="1" applyFont="1" applyFill="1" applyBorder="1" applyAlignment="1">
      <alignment horizontal="center"/>
    </xf>
    <xf numFmtId="1" fontId="5" fillId="4" borderId="4" xfId="0" applyNumberFormat="1" applyFont="1" applyFill="1" applyBorder="1" applyAlignment="1">
      <alignment horizontal="center"/>
    </xf>
    <xf numFmtId="0" fontId="7" fillId="0" borderId="4" xfId="0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164" fontId="5" fillId="0" borderId="4" xfId="0" applyNumberFormat="1" applyFont="1" applyBorder="1" applyAlignment="1">
      <alignment horizontal="center"/>
    </xf>
    <xf numFmtId="165" fontId="9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/>
    </xf>
    <xf numFmtId="165" fontId="10" fillId="0" borderId="4" xfId="0" applyNumberFormat="1" applyFont="1" applyBorder="1" applyAlignment="1">
      <alignment horizontal="center"/>
    </xf>
    <xf numFmtId="0" fontId="8" fillId="0" borderId="0" xfId="0" applyFont="1"/>
    <xf numFmtId="2" fontId="5" fillId="0" borderId="4" xfId="0" applyNumberFormat="1" applyFont="1" applyBorder="1" applyAlignment="1">
      <alignment horizontal="center" vertical="center"/>
    </xf>
    <xf numFmtId="164" fontId="4" fillId="0" borderId="0" xfId="0" applyNumberFormat="1" applyFont="1"/>
    <xf numFmtId="164" fontId="4" fillId="3" borderId="8" xfId="0" applyNumberFormat="1" applyFont="1" applyFill="1" applyBorder="1"/>
    <xf numFmtId="0" fontId="2" fillId="0" borderId="0" xfId="0" applyFont="1"/>
    <xf numFmtId="164" fontId="2" fillId="0" borderId="0" xfId="0" applyNumberFormat="1" applyFont="1"/>
    <xf numFmtId="0" fontId="4" fillId="4" borderId="8" xfId="0" applyFont="1" applyFill="1" applyBorder="1"/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12" fillId="0" borderId="4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/>
    </xf>
    <xf numFmtId="0" fontId="13" fillId="0" borderId="0" xfId="0" applyFont="1"/>
    <xf numFmtId="3" fontId="13" fillId="0" borderId="4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20" fontId="13" fillId="0" borderId="4" xfId="0" applyNumberFormat="1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14" fontId="13" fillId="0" borderId="4" xfId="0" applyNumberFormat="1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5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3" fillId="0" borderId="6" xfId="0" applyFont="1" applyBorder="1"/>
    <xf numFmtId="0" fontId="3" fillId="0" borderId="7" xfId="0" applyFont="1" applyBorder="1"/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5" borderId="4" xfId="0" quotePrefix="1" applyFont="1" applyFill="1" applyBorder="1" applyAlignment="1">
      <alignment horizontal="center" vertical="center"/>
    </xf>
    <xf numFmtId="0" fontId="5" fillId="5" borderId="0" xfId="0" applyFont="1" applyFill="1"/>
    <xf numFmtId="0" fontId="0" fillId="5" borderId="0" xfId="0" applyFill="1"/>
    <xf numFmtId="14" fontId="5" fillId="5" borderId="4" xfId="0" applyNumberFormat="1" applyFont="1" applyFill="1" applyBorder="1" applyAlignment="1">
      <alignment horizontal="center" vertical="center"/>
    </xf>
    <xf numFmtId="0" fontId="5" fillId="5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2" fontId="5" fillId="5" borderId="4" xfId="0" applyNumberFormat="1" applyFont="1" applyFill="1" applyBorder="1" applyAlignment="1">
      <alignment horizontal="center" vertical="center"/>
    </xf>
    <xf numFmtId="14" fontId="5" fillId="5" borderId="4" xfId="0" applyNumberFormat="1" applyFont="1" applyFill="1" applyBorder="1" applyAlignment="1">
      <alignment horizontal="center"/>
    </xf>
    <xf numFmtId="0" fontId="5" fillId="5" borderId="4" xfId="0" quotePrefix="1" applyFont="1" applyFill="1" applyBorder="1" applyAlignment="1">
      <alignment horizontal="center"/>
    </xf>
    <xf numFmtId="0" fontId="5" fillId="4" borderId="4" xfId="0" quotePrefix="1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 wrapText="1"/>
    </xf>
    <xf numFmtId="0" fontId="5" fillId="4" borderId="4" xfId="0" applyFont="1" applyFill="1" applyBorder="1" applyAlignment="1">
      <alignment horizontal="center" vertical="center"/>
    </xf>
    <xf numFmtId="2" fontId="5" fillId="4" borderId="4" xfId="0" applyNumberFormat="1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wrapText="1"/>
    </xf>
    <xf numFmtId="0" fontId="3" fillId="5" borderId="6" xfId="0" applyFont="1" applyFill="1" applyBorder="1"/>
    <xf numFmtId="2" fontId="5" fillId="5" borderId="4" xfId="0" quotePrefix="1" applyNumberFormat="1" applyFont="1" applyFill="1" applyBorder="1" applyAlignment="1">
      <alignment horizontal="center"/>
    </xf>
    <xf numFmtId="2" fontId="5" fillId="5" borderId="4" xfId="0" applyNumberFormat="1" applyFont="1" applyFill="1" applyBorder="1" applyAlignment="1">
      <alignment horizontal="center"/>
    </xf>
    <xf numFmtId="2" fontId="5" fillId="6" borderId="4" xfId="0" applyNumberFormat="1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" fontId="6" fillId="4" borderId="4" xfId="0" applyNumberFormat="1" applyFont="1" applyFill="1" applyBorder="1" applyAlignment="1">
      <alignment horizontal="center" vertical="center"/>
    </xf>
    <xf numFmtId="2" fontId="6" fillId="4" borderId="4" xfId="0" applyNumberFormat="1" applyFont="1" applyFill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/>
    </xf>
    <xf numFmtId="14" fontId="12" fillId="5" borderId="4" xfId="0" applyNumberFormat="1" applyFont="1" applyFill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 wrapText="1"/>
    </xf>
    <xf numFmtId="20" fontId="12" fillId="5" borderId="4" xfId="0" applyNumberFormat="1" applyFont="1" applyFill="1" applyBorder="1" applyAlignment="1">
      <alignment horizontal="center" vertical="center"/>
    </xf>
    <xf numFmtId="0" fontId="12" fillId="5" borderId="0" xfId="0" applyFont="1" applyFill="1" applyAlignment="1">
      <alignment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 wrapText="1"/>
    </xf>
    <xf numFmtId="3" fontId="13" fillId="5" borderId="4" xfId="0" applyNumberFormat="1" applyFont="1" applyFill="1" applyBorder="1" applyAlignment="1">
      <alignment horizontal="center" vertical="center"/>
    </xf>
    <xf numFmtId="2" fontId="13" fillId="5" borderId="4" xfId="0" applyNumberFormat="1" applyFont="1" applyFill="1" applyBorder="1" applyAlignment="1">
      <alignment horizontal="center" vertical="center"/>
    </xf>
    <xf numFmtId="0" fontId="13" fillId="5" borderId="0" xfId="0" applyFont="1" applyFill="1"/>
    <xf numFmtId="0" fontId="13" fillId="5" borderId="0" xfId="0" applyFont="1" applyFill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14" fontId="5" fillId="5" borderId="4" xfId="0" applyNumberFormat="1" applyFont="1" applyFill="1" applyBorder="1" applyAlignment="1">
      <alignment horizontal="center" vertical="center" wrapText="1"/>
    </xf>
    <xf numFmtId="20" fontId="5" fillId="5" borderId="4" xfId="0" applyNumberFormat="1" applyFont="1" applyFill="1" applyBorder="1" applyAlignment="1">
      <alignment horizontal="center" vertical="center" wrapText="1"/>
    </xf>
    <xf numFmtId="0" fontId="0" fillId="5" borderId="0" xfId="0" applyFill="1" applyAlignment="1">
      <alignment vertical="center" wrapText="1"/>
    </xf>
    <xf numFmtId="0" fontId="4" fillId="5" borderId="4" xfId="0" applyFont="1" applyFill="1" applyBorder="1"/>
    <xf numFmtId="0" fontId="13" fillId="5" borderId="4" xfId="0" applyFont="1" applyFill="1" applyBorder="1" applyAlignment="1">
      <alignment horizontal="center"/>
    </xf>
    <xf numFmtId="0" fontId="13" fillId="4" borderId="4" xfId="0" applyFont="1" applyFill="1" applyBorder="1" applyAlignment="1">
      <alignment horizontal="center"/>
    </xf>
    <xf numFmtId="2" fontId="13" fillId="4" borderId="4" xfId="0" applyNumberFormat="1" applyFont="1" applyFill="1" applyBorder="1" applyAlignment="1">
      <alignment horizontal="center"/>
    </xf>
    <xf numFmtId="0" fontId="13" fillId="5" borderId="0" xfId="0" applyFont="1" applyFill="1" applyAlignment="1">
      <alignment horizontal="center"/>
    </xf>
    <xf numFmtId="2" fontId="13" fillId="5" borderId="4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0" borderId="1" xfId="0" applyFont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/>
    </xf>
    <xf numFmtId="0" fontId="3" fillId="5" borderId="6" xfId="0" applyFont="1" applyFill="1" applyBorder="1"/>
    <xf numFmtId="14" fontId="5" fillId="5" borderId="5" xfId="0" applyNumberFormat="1" applyFont="1" applyFill="1" applyBorder="1" applyAlignment="1">
      <alignment horizontal="center" vertical="center"/>
    </xf>
    <xf numFmtId="14" fontId="5" fillId="5" borderId="6" xfId="0" applyNumberFormat="1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 wrapText="1"/>
    </xf>
    <xf numFmtId="0" fontId="3" fillId="5" borderId="6" xfId="0" applyFont="1" applyFill="1" applyBorder="1" applyAlignment="1">
      <alignment wrapText="1"/>
    </xf>
    <xf numFmtId="0" fontId="5" fillId="0" borderId="5" xfId="0" applyFont="1" applyBorder="1" applyAlignment="1">
      <alignment horizontal="center" vertical="center"/>
    </xf>
    <xf numFmtId="0" fontId="3" fillId="0" borderId="7" xfId="0" applyFont="1" applyBorder="1"/>
    <xf numFmtId="0" fontId="3" fillId="0" borderId="6" xfId="0" applyFont="1" applyBorder="1"/>
    <xf numFmtId="14" fontId="5" fillId="0" borderId="5" xfId="0" applyNumberFormat="1" applyFont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/>
    </xf>
    <xf numFmtId="0" fontId="13" fillId="5" borderId="10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center"/>
    </xf>
    <xf numFmtId="20" fontId="13" fillId="5" borderId="4" xfId="0" applyNumberFormat="1" applyFont="1" applyFill="1" applyBorder="1" applyAlignment="1">
      <alignment horizontal="center" vertical="center"/>
    </xf>
    <xf numFmtId="20" fontId="5" fillId="5" borderId="4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vertical="center"/>
    </xf>
    <xf numFmtId="3" fontId="13" fillId="5" borderId="4" xfId="0" applyNumberFormat="1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/>
    </xf>
    <xf numFmtId="0" fontId="13" fillId="5" borderId="9" xfId="0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/>
    </xf>
    <xf numFmtId="4" fontId="13" fillId="5" borderId="4" xfId="0" applyNumberFormat="1" applyFont="1" applyFill="1" applyBorder="1" applyAlignment="1">
      <alignment horizontal="center" vertical="center" wrapText="1"/>
    </xf>
    <xf numFmtId="2" fontId="13" fillId="5" borderId="9" xfId="0" applyNumberFormat="1" applyFont="1" applyFill="1" applyBorder="1" applyAlignment="1">
      <alignment horizontal="center" vertical="center"/>
    </xf>
    <xf numFmtId="2" fontId="13" fillId="5" borderId="3" xfId="0" applyNumberFormat="1" applyFont="1" applyFill="1" applyBorder="1" applyAlignment="1">
      <alignment horizontal="center" vertical="center"/>
    </xf>
    <xf numFmtId="14" fontId="13" fillId="5" borderId="4" xfId="0" applyNumberFormat="1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999"/>
  <sheetViews>
    <sheetView workbookViewId="0">
      <pane xSplit="7" ySplit="2" topLeftCell="H17" activePane="bottomRight" state="frozen"/>
      <selection pane="topRight" activeCell="G1" sqref="G1"/>
      <selection pane="bottomLeft" activeCell="A3" sqref="A3"/>
      <selection pane="bottomRight" activeCell="A20" sqref="A20:XFD20"/>
    </sheetView>
  </sheetViews>
  <sheetFormatPr defaultColWidth="12.6640625" defaultRowHeight="15" customHeight="1"/>
  <cols>
    <col min="1" max="1" width="11.6640625" customWidth="1"/>
    <col min="2" max="2" width="13.6640625" customWidth="1"/>
    <col min="3" max="3" width="14" customWidth="1"/>
    <col min="4" max="4" width="19.77734375" customWidth="1"/>
    <col min="5" max="5" width="21" customWidth="1"/>
    <col min="6" max="6" width="12.77734375" customWidth="1"/>
    <col min="7" max="7" width="7.77734375" customWidth="1"/>
    <col min="8" max="8" width="20.77734375" customWidth="1"/>
    <col min="9" max="9" width="14" customWidth="1"/>
    <col min="10" max="10" width="15.6640625" customWidth="1"/>
    <col min="11" max="11" width="18.21875" customWidth="1"/>
    <col min="12" max="13" width="12.44140625" customWidth="1"/>
    <col min="14" max="14" width="12.88671875" customWidth="1"/>
    <col min="15" max="15" width="14.109375" customWidth="1"/>
    <col min="16" max="17" width="11.88671875" customWidth="1"/>
    <col min="18" max="18" width="18.21875" customWidth="1"/>
    <col min="19" max="19" width="19.88671875" customWidth="1"/>
    <col min="20" max="20" width="12.88671875" customWidth="1"/>
    <col min="21" max="27" width="8.6640625" customWidth="1"/>
  </cols>
  <sheetData>
    <row r="1" spans="1:27" ht="14.25" customHeight="1">
      <c r="A1" s="108" t="s">
        <v>0</v>
      </c>
      <c r="B1" s="109"/>
      <c r="C1" s="110"/>
      <c r="D1" s="110"/>
      <c r="E1" s="110"/>
      <c r="F1" s="110"/>
      <c r="G1" s="111"/>
      <c r="H1" s="112" t="s">
        <v>1</v>
      </c>
      <c r="I1" s="110"/>
      <c r="J1" s="110"/>
      <c r="K1" s="110"/>
      <c r="L1" s="110"/>
      <c r="M1" s="110"/>
      <c r="N1" s="111"/>
      <c r="O1" s="112" t="s">
        <v>2</v>
      </c>
      <c r="P1" s="110"/>
      <c r="Q1" s="110"/>
      <c r="R1" s="110"/>
      <c r="S1" s="111"/>
      <c r="T1" s="1"/>
    </row>
    <row r="2" spans="1:27" ht="66" customHeight="1">
      <c r="A2" s="2" t="s">
        <v>3</v>
      </c>
      <c r="B2" s="2" t="s">
        <v>527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11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</row>
    <row r="3" spans="1:27" s="69" customFormat="1" ht="38.4" customHeight="1">
      <c r="A3" s="62">
        <v>51</v>
      </c>
      <c r="B3" s="62"/>
      <c r="C3" s="67">
        <v>45860</v>
      </c>
      <c r="D3" s="62" t="s">
        <v>21</v>
      </c>
      <c r="E3" s="61" t="s">
        <v>22</v>
      </c>
      <c r="F3" s="61" t="s">
        <v>533</v>
      </c>
      <c r="G3" s="62" t="s">
        <v>23</v>
      </c>
      <c r="H3" s="61" t="s">
        <v>24</v>
      </c>
      <c r="I3" s="62" t="s">
        <v>25</v>
      </c>
      <c r="J3" s="63" t="s">
        <v>528</v>
      </c>
      <c r="K3" s="61" t="s">
        <v>27</v>
      </c>
      <c r="L3" s="62" t="s">
        <v>28</v>
      </c>
      <c r="M3" s="64" t="s">
        <v>29</v>
      </c>
      <c r="N3" s="62" t="s">
        <v>30</v>
      </c>
      <c r="O3" s="64" t="s">
        <v>54</v>
      </c>
      <c r="P3" s="62">
        <v>1</v>
      </c>
      <c r="Q3" s="62" t="s">
        <v>26</v>
      </c>
      <c r="R3" s="61" t="s">
        <v>31</v>
      </c>
      <c r="S3" s="62">
        <v>5</v>
      </c>
      <c r="T3" s="64" t="s">
        <v>29</v>
      </c>
      <c r="U3" s="68"/>
      <c r="V3" s="68"/>
      <c r="W3" s="68"/>
      <c r="X3" s="68"/>
      <c r="Y3" s="68"/>
      <c r="Z3" s="68"/>
      <c r="AA3" s="68"/>
    </row>
    <row r="4" spans="1:27" s="66" customFormat="1" ht="43.8" customHeight="1">
      <c r="A4" s="62">
        <v>52</v>
      </c>
      <c r="B4" s="62"/>
      <c r="C4" s="71">
        <v>45860</v>
      </c>
      <c r="D4" s="62" t="s">
        <v>537</v>
      </c>
      <c r="E4" s="61" t="s">
        <v>32</v>
      </c>
      <c r="F4" s="61" t="s">
        <v>533</v>
      </c>
      <c r="G4" s="62" t="s">
        <v>33</v>
      </c>
      <c r="H4" s="61" t="s">
        <v>34</v>
      </c>
      <c r="I4" s="62" t="s">
        <v>35</v>
      </c>
      <c r="J4" s="63" t="s">
        <v>529</v>
      </c>
      <c r="K4" s="61" t="s">
        <v>27</v>
      </c>
      <c r="L4" s="62" t="s">
        <v>36</v>
      </c>
      <c r="M4" s="62" t="s">
        <v>530</v>
      </c>
      <c r="N4" s="62" t="s">
        <v>37</v>
      </c>
      <c r="O4" s="62" t="s">
        <v>54</v>
      </c>
      <c r="P4" s="62" t="s">
        <v>29</v>
      </c>
      <c r="Q4" s="62" t="s">
        <v>29</v>
      </c>
      <c r="R4" s="62" t="s">
        <v>29</v>
      </c>
      <c r="S4" s="62" t="s">
        <v>29</v>
      </c>
      <c r="T4" s="62" t="s">
        <v>29</v>
      </c>
      <c r="U4" s="65"/>
      <c r="V4" s="65"/>
      <c r="W4" s="65"/>
      <c r="X4" s="65"/>
      <c r="Y4" s="65"/>
      <c r="Z4" s="65"/>
      <c r="AA4" s="65"/>
    </row>
    <row r="5" spans="1:27" s="66" customFormat="1" ht="49.2" customHeight="1">
      <c r="A5" s="62">
        <v>53</v>
      </c>
      <c r="B5" s="62"/>
      <c r="C5" s="67">
        <v>45860</v>
      </c>
      <c r="D5" s="62" t="s">
        <v>38</v>
      </c>
      <c r="E5" s="61" t="s">
        <v>39</v>
      </c>
      <c r="F5" s="61" t="s">
        <v>533</v>
      </c>
      <c r="G5" s="62" t="s">
        <v>40</v>
      </c>
      <c r="H5" s="61" t="s">
        <v>41</v>
      </c>
      <c r="I5" s="62" t="s">
        <v>42</v>
      </c>
      <c r="J5" s="63" t="s">
        <v>538</v>
      </c>
      <c r="K5" s="61" t="s">
        <v>43</v>
      </c>
      <c r="L5" s="62" t="s">
        <v>28</v>
      </c>
      <c r="M5" s="64" t="s">
        <v>29</v>
      </c>
      <c r="N5" s="62" t="s">
        <v>44</v>
      </c>
      <c r="O5" s="62" t="s">
        <v>54</v>
      </c>
      <c r="P5" s="62">
        <v>1</v>
      </c>
      <c r="Q5" s="62" t="s">
        <v>45</v>
      </c>
      <c r="R5" s="62" t="s">
        <v>46</v>
      </c>
      <c r="S5" s="62">
        <v>5</v>
      </c>
      <c r="T5" s="64" t="s">
        <v>29</v>
      </c>
      <c r="U5" s="65"/>
      <c r="V5" s="65"/>
      <c r="W5" s="65"/>
      <c r="X5" s="65"/>
      <c r="Y5" s="65"/>
      <c r="Z5" s="65"/>
      <c r="AA5" s="65"/>
    </row>
    <row r="6" spans="1:27" s="66" customFormat="1" ht="16.8" customHeight="1">
      <c r="A6" s="113">
        <v>54</v>
      </c>
      <c r="B6" s="77"/>
      <c r="C6" s="115">
        <v>45860</v>
      </c>
      <c r="D6" s="113" t="s">
        <v>21</v>
      </c>
      <c r="E6" s="113" t="s">
        <v>47</v>
      </c>
      <c r="F6" s="117" t="s">
        <v>540</v>
      </c>
      <c r="G6" s="113" t="s">
        <v>48</v>
      </c>
      <c r="H6" s="61" t="s">
        <v>68</v>
      </c>
      <c r="I6" s="62" t="s">
        <v>49</v>
      </c>
      <c r="J6" s="62" t="s">
        <v>50</v>
      </c>
      <c r="K6" s="61" t="s">
        <v>27</v>
      </c>
      <c r="L6" s="62" t="s">
        <v>28</v>
      </c>
      <c r="M6" s="78">
        <f>AVERAGE(50,30,25)</f>
        <v>35</v>
      </c>
      <c r="N6" s="61" t="s">
        <v>37</v>
      </c>
      <c r="O6" s="62" t="s">
        <v>29</v>
      </c>
      <c r="P6" s="61">
        <f>AVERAGE(350,400)</f>
        <v>375</v>
      </c>
      <c r="Q6" s="62" t="s">
        <v>26</v>
      </c>
      <c r="R6" s="62" t="s">
        <v>51</v>
      </c>
      <c r="S6" s="62" t="s">
        <v>52</v>
      </c>
      <c r="T6" s="62" t="s">
        <v>29</v>
      </c>
      <c r="U6" s="65"/>
      <c r="V6" s="65"/>
      <c r="W6" s="65"/>
      <c r="X6" s="65"/>
      <c r="Y6" s="65"/>
      <c r="Z6" s="65"/>
      <c r="AA6" s="65"/>
    </row>
    <row r="7" spans="1:27" s="66" customFormat="1" ht="16.8" customHeight="1">
      <c r="A7" s="114"/>
      <c r="B7" s="79"/>
      <c r="C7" s="116"/>
      <c r="D7" s="114"/>
      <c r="E7" s="114"/>
      <c r="F7" s="118"/>
      <c r="G7" s="114"/>
      <c r="H7" s="62" t="s">
        <v>53</v>
      </c>
      <c r="I7" s="62" t="s">
        <v>49</v>
      </c>
      <c r="J7" s="62" t="s">
        <v>539</v>
      </c>
      <c r="K7" s="61" t="s">
        <v>27</v>
      </c>
      <c r="L7" s="62" t="s">
        <v>28</v>
      </c>
      <c r="M7" s="62">
        <f>AVERAGE(50,100)</f>
        <v>75</v>
      </c>
      <c r="N7" s="62" t="s">
        <v>30</v>
      </c>
      <c r="O7" s="62" t="s">
        <v>29</v>
      </c>
      <c r="P7" s="62">
        <f>AVERAGE(160,170)</f>
        <v>165</v>
      </c>
      <c r="Q7" s="62" t="s">
        <v>54</v>
      </c>
      <c r="R7" s="62" t="s">
        <v>51</v>
      </c>
      <c r="S7" s="62"/>
      <c r="T7" s="62"/>
      <c r="U7" s="65"/>
      <c r="V7" s="65"/>
      <c r="W7" s="65"/>
      <c r="X7" s="65"/>
      <c r="Y7" s="65"/>
      <c r="Z7" s="65"/>
      <c r="AA7" s="65"/>
    </row>
    <row r="8" spans="1:27" s="66" customFormat="1" ht="41.4">
      <c r="A8" s="62">
        <v>55</v>
      </c>
      <c r="B8" s="62"/>
      <c r="C8" s="67">
        <v>45862</v>
      </c>
      <c r="D8" s="62" t="s">
        <v>55</v>
      </c>
      <c r="E8" s="61" t="s">
        <v>56</v>
      </c>
      <c r="F8" s="61" t="s">
        <v>57</v>
      </c>
      <c r="G8" s="62" t="s">
        <v>58</v>
      </c>
      <c r="H8" s="61" t="s">
        <v>59</v>
      </c>
      <c r="I8" s="62" t="s">
        <v>60</v>
      </c>
      <c r="J8" s="62" t="s">
        <v>528</v>
      </c>
      <c r="K8" s="62" t="s">
        <v>27</v>
      </c>
      <c r="L8" s="62" t="s">
        <v>28</v>
      </c>
      <c r="M8" s="62" t="s">
        <v>29</v>
      </c>
      <c r="N8" s="62" t="s">
        <v>29</v>
      </c>
      <c r="O8" s="62" t="s">
        <v>29</v>
      </c>
      <c r="P8" s="62">
        <v>5</v>
      </c>
      <c r="Q8" s="62" t="s">
        <v>61</v>
      </c>
      <c r="R8" s="61" t="s">
        <v>62</v>
      </c>
      <c r="S8" s="61" t="s">
        <v>63</v>
      </c>
      <c r="T8" s="62" t="s">
        <v>29</v>
      </c>
      <c r="U8" s="65"/>
      <c r="V8" s="65"/>
      <c r="W8" s="65"/>
      <c r="X8" s="65"/>
      <c r="Y8" s="65"/>
      <c r="Z8" s="65"/>
      <c r="AA8" s="65"/>
    </row>
    <row r="9" spans="1:27" ht="14.25" customHeight="1">
      <c r="A9" s="119">
        <v>56</v>
      </c>
      <c r="B9" s="57"/>
      <c r="C9" s="122">
        <v>45861</v>
      </c>
      <c r="D9" s="119" t="s">
        <v>64</v>
      </c>
      <c r="E9" s="119" t="s">
        <v>65</v>
      </c>
      <c r="F9" s="119" t="s">
        <v>66</v>
      </c>
      <c r="G9" s="119" t="s">
        <v>67</v>
      </c>
      <c r="H9" s="6" t="s">
        <v>68</v>
      </c>
      <c r="I9" s="7" t="s">
        <v>69</v>
      </c>
      <c r="J9" s="7" t="s">
        <v>29</v>
      </c>
      <c r="K9" s="7" t="s">
        <v>27</v>
      </c>
      <c r="L9" s="7" t="s">
        <v>28</v>
      </c>
      <c r="M9" s="7" t="s">
        <v>29</v>
      </c>
      <c r="N9" s="7" t="s">
        <v>29</v>
      </c>
      <c r="O9" s="7" t="s">
        <v>29</v>
      </c>
      <c r="P9" s="7" t="s">
        <v>29</v>
      </c>
      <c r="Q9" s="7" t="s">
        <v>29</v>
      </c>
      <c r="R9" s="7" t="s">
        <v>29</v>
      </c>
      <c r="S9" s="7" t="s">
        <v>29</v>
      </c>
      <c r="T9" s="7" t="s">
        <v>29</v>
      </c>
      <c r="U9" s="8"/>
      <c r="V9" s="8"/>
      <c r="W9" s="8"/>
      <c r="X9" s="8"/>
      <c r="Y9" s="8"/>
      <c r="Z9" s="8"/>
      <c r="AA9" s="8"/>
    </row>
    <row r="10" spans="1:27" ht="14.25" customHeight="1">
      <c r="A10" s="120"/>
      <c r="B10" s="59"/>
      <c r="C10" s="120"/>
      <c r="D10" s="120"/>
      <c r="E10" s="120"/>
      <c r="F10" s="120"/>
      <c r="G10" s="120"/>
      <c r="H10" s="7" t="s">
        <v>70</v>
      </c>
      <c r="I10" s="7" t="s">
        <v>71</v>
      </c>
      <c r="J10" s="7" t="s">
        <v>29</v>
      </c>
      <c r="K10" s="7" t="s">
        <v>27</v>
      </c>
      <c r="L10" s="7" t="s">
        <v>28</v>
      </c>
      <c r="M10" s="7" t="s">
        <v>29</v>
      </c>
      <c r="N10" s="7" t="s">
        <v>29</v>
      </c>
      <c r="O10" s="7" t="s">
        <v>29</v>
      </c>
      <c r="P10" s="7" t="s">
        <v>29</v>
      </c>
      <c r="Q10" s="7" t="s">
        <v>29</v>
      </c>
      <c r="R10" s="7" t="s">
        <v>29</v>
      </c>
      <c r="S10" s="7" t="s">
        <v>29</v>
      </c>
      <c r="T10" s="7" t="s">
        <v>29</v>
      </c>
      <c r="U10" s="8"/>
      <c r="V10" s="8"/>
      <c r="W10" s="8"/>
      <c r="X10" s="8"/>
      <c r="Y10" s="8"/>
      <c r="Z10" s="8"/>
      <c r="AA10" s="8"/>
    </row>
    <row r="11" spans="1:27" ht="14.25" customHeight="1">
      <c r="A11" s="121"/>
      <c r="B11" s="58"/>
      <c r="C11" s="121"/>
      <c r="D11" s="121"/>
      <c r="E11" s="121"/>
      <c r="F11" s="121"/>
      <c r="G11" s="121"/>
      <c r="H11" s="7" t="s">
        <v>72</v>
      </c>
      <c r="I11" s="7" t="s">
        <v>29</v>
      </c>
      <c r="J11" s="7" t="s">
        <v>29</v>
      </c>
      <c r="K11" s="7" t="s">
        <v>27</v>
      </c>
      <c r="L11" s="7" t="s">
        <v>28</v>
      </c>
      <c r="M11" s="7" t="s">
        <v>29</v>
      </c>
      <c r="N11" s="7" t="s">
        <v>29</v>
      </c>
      <c r="O11" s="7" t="s">
        <v>29</v>
      </c>
      <c r="P11" s="7" t="s">
        <v>29</v>
      </c>
      <c r="Q11" s="7" t="s">
        <v>29</v>
      </c>
      <c r="R11" s="7" t="s">
        <v>29</v>
      </c>
      <c r="S11" s="7" t="s">
        <v>29</v>
      </c>
      <c r="T11" s="7" t="s">
        <v>29</v>
      </c>
      <c r="U11" s="8"/>
      <c r="V11" s="8"/>
      <c r="W11" s="8"/>
      <c r="X11" s="8"/>
      <c r="Y11" s="8"/>
      <c r="Z11" s="8"/>
      <c r="AA11" s="8"/>
    </row>
    <row r="12" spans="1:27" ht="14.25" customHeight="1">
      <c r="A12" s="7">
        <v>57</v>
      </c>
      <c r="B12" s="7"/>
      <c r="C12" s="4">
        <v>45860</v>
      </c>
      <c r="D12" s="7" t="s">
        <v>55</v>
      </c>
      <c r="E12" s="7" t="s">
        <v>73</v>
      </c>
      <c r="F12" s="7" t="s">
        <v>29</v>
      </c>
      <c r="G12" s="7" t="s">
        <v>74</v>
      </c>
      <c r="H12" s="7" t="s">
        <v>70</v>
      </c>
      <c r="I12" s="7" t="s">
        <v>42</v>
      </c>
      <c r="J12" s="7" t="s">
        <v>26</v>
      </c>
      <c r="K12" s="7" t="s">
        <v>27</v>
      </c>
      <c r="L12" s="7" t="s">
        <v>28</v>
      </c>
      <c r="M12" s="7" t="s">
        <v>29</v>
      </c>
      <c r="N12" s="6" t="s">
        <v>37</v>
      </c>
      <c r="O12" s="7" t="s">
        <v>29</v>
      </c>
      <c r="P12" s="7" t="s">
        <v>29</v>
      </c>
      <c r="Q12" s="7" t="s">
        <v>29</v>
      </c>
      <c r="R12" s="7" t="s">
        <v>46</v>
      </c>
      <c r="S12" s="7" t="s">
        <v>75</v>
      </c>
      <c r="T12" s="7" t="s">
        <v>29</v>
      </c>
      <c r="U12" s="8"/>
      <c r="V12" s="8"/>
      <c r="W12" s="8"/>
      <c r="X12" s="8"/>
      <c r="Y12" s="8"/>
      <c r="Z12" s="8"/>
      <c r="AA12" s="8"/>
    </row>
    <row r="13" spans="1:27" ht="14.25" customHeight="1">
      <c r="A13" s="7">
        <v>58</v>
      </c>
      <c r="B13" s="7"/>
      <c r="C13" s="9" t="s">
        <v>29</v>
      </c>
      <c r="D13" s="7" t="s">
        <v>29</v>
      </c>
      <c r="E13" s="6" t="s">
        <v>76</v>
      </c>
      <c r="F13" s="7" t="s">
        <v>77</v>
      </c>
      <c r="G13" s="7" t="s">
        <v>78</v>
      </c>
      <c r="H13" s="6" t="s">
        <v>59</v>
      </c>
      <c r="I13" s="7" t="s">
        <v>42</v>
      </c>
      <c r="J13" s="7" t="s">
        <v>29</v>
      </c>
      <c r="K13" s="7" t="s">
        <v>27</v>
      </c>
      <c r="L13" s="7" t="s">
        <v>29</v>
      </c>
      <c r="M13" s="7">
        <f>40.5*60</f>
        <v>2430</v>
      </c>
      <c r="N13" s="7" t="s">
        <v>30</v>
      </c>
      <c r="O13" s="7" t="s">
        <v>29</v>
      </c>
      <c r="P13" s="7" t="s">
        <v>29</v>
      </c>
      <c r="Q13" s="7" t="s">
        <v>29</v>
      </c>
      <c r="R13" s="7" t="s">
        <v>79</v>
      </c>
      <c r="S13" s="7" t="s">
        <v>29</v>
      </c>
      <c r="T13" s="7" t="s">
        <v>29</v>
      </c>
      <c r="U13" s="8"/>
      <c r="V13" s="8"/>
      <c r="W13" s="8"/>
      <c r="X13" s="8"/>
      <c r="Y13" s="8"/>
      <c r="Z13" s="8"/>
      <c r="AA13" s="8"/>
    </row>
    <row r="14" spans="1:27" ht="79.2" customHeight="1">
      <c r="A14" s="7">
        <v>59</v>
      </c>
      <c r="B14" s="7"/>
      <c r="C14" s="9">
        <v>45870</v>
      </c>
      <c r="D14" s="7" t="s">
        <v>80</v>
      </c>
      <c r="E14" s="7" t="s">
        <v>81</v>
      </c>
      <c r="F14" s="7" t="s">
        <v>82</v>
      </c>
      <c r="G14" s="10">
        <v>0.65277777777777779</v>
      </c>
      <c r="H14" s="7" t="s">
        <v>70</v>
      </c>
      <c r="I14" s="7" t="s">
        <v>83</v>
      </c>
      <c r="J14" s="6" t="s">
        <v>84</v>
      </c>
      <c r="K14" s="7" t="s">
        <v>27</v>
      </c>
      <c r="L14" s="38" t="s">
        <v>85</v>
      </c>
      <c r="M14" s="7" t="s">
        <v>29</v>
      </c>
      <c r="N14" s="7" t="s">
        <v>29</v>
      </c>
      <c r="O14" s="7" t="s">
        <v>29</v>
      </c>
      <c r="P14" s="7" t="s">
        <v>29</v>
      </c>
      <c r="Q14" s="7" t="s">
        <v>29</v>
      </c>
      <c r="R14" s="7" t="s">
        <v>29</v>
      </c>
      <c r="S14" s="7">
        <v>2</v>
      </c>
      <c r="T14" s="7" t="s">
        <v>29</v>
      </c>
      <c r="U14" s="8"/>
      <c r="V14" s="8"/>
      <c r="W14" s="8"/>
      <c r="X14" s="8"/>
      <c r="Y14" s="8"/>
      <c r="Z14" s="8"/>
      <c r="AA14" s="8"/>
    </row>
    <row r="15" spans="1:27" s="101" customFormat="1" ht="56.4" customHeight="1">
      <c r="A15" s="61">
        <v>60</v>
      </c>
      <c r="B15" s="61"/>
      <c r="C15" s="99">
        <v>45924</v>
      </c>
      <c r="D15" s="61" t="s">
        <v>80</v>
      </c>
      <c r="E15" s="61" t="s">
        <v>86</v>
      </c>
      <c r="F15" s="61" t="s">
        <v>546</v>
      </c>
      <c r="G15" s="100">
        <v>0.39583333333333331</v>
      </c>
      <c r="H15" s="61" t="s">
        <v>87</v>
      </c>
      <c r="I15" s="61" t="s">
        <v>88</v>
      </c>
      <c r="J15" s="93" t="s">
        <v>549</v>
      </c>
      <c r="K15" s="61" t="s">
        <v>27</v>
      </c>
      <c r="L15" s="61" t="s">
        <v>28</v>
      </c>
      <c r="M15" s="61" t="s">
        <v>29</v>
      </c>
      <c r="N15" s="61" t="s">
        <v>29</v>
      </c>
      <c r="O15" s="61" t="s">
        <v>26</v>
      </c>
      <c r="P15" s="61" t="s">
        <v>29</v>
      </c>
      <c r="Q15" s="61" t="s">
        <v>26</v>
      </c>
      <c r="R15" s="61" t="s">
        <v>90</v>
      </c>
      <c r="S15" s="61" t="s">
        <v>91</v>
      </c>
      <c r="T15" s="61" t="s">
        <v>29</v>
      </c>
    </row>
    <row r="16" spans="1:27" s="69" customFormat="1" ht="28.2" customHeight="1">
      <c r="A16" s="62">
        <v>61</v>
      </c>
      <c r="B16" s="62"/>
      <c r="C16" s="67">
        <v>45924</v>
      </c>
      <c r="D16" s="62" t="s">
        <v>80</v>
      </c>
      <c r="E16" s="62" t="s">
        <v>92</v>
      </c>
      <c r="F16" s="61" t="s">
        <v>559</v>
      </c>
      <c r="G16" s="131">
        <v>0.66666666666666663</v>
      </c>
      <c r="H16" s="62" t="s">
        <v>94</v>
      </c>
      <c r="I16" s="62" t="s">
        <v>95</v>
      </c>
      <c r="J16" s="62" t="s">
        <v>26</v>
      </c>
      <c r="K16" s="62" t="s">
        <v>27</v>
      </c>
      <c r="L16" s="62" t="s">
        <v>96</v>
      </c>
      <c r="M16" s="62" t="s">
        <v>29</v>
      </c>
      <c r="N16" s="62" t="s">
        <v>29</v>
      </c>
      <c r="O16" s="62" t="s">
        <v>29</v>
      </c>
      <c r="P16" s="62" t="s">
        <v>29</v>
      </c>
      <c r="Q16" s="132"/>
      <c r="R16" s="92" t="s">
        <v>557</v>
      </c>
      <c r="S16" s="62" t="s">
        <v>97</v>
      </c>
      <c r="T16" s="62" t="s">
        <v>29</v>
      </c>
    </row>
    <row r="17" spans="1:20" ht="14.25" customHeight="1">
      <c r="A17" s="3">
        <v>62</v>
      </c>
      <c r="B17" s="3"/>
      <c r="C17" s="4">
        <v>45924</v>
      </c>
      <c r="D17" s="3" t="s">
        <v>98</v>
      </c>
      <c r="E17" s="3" t="s">
        <v>99</v>
      </c>
      <c r="F17" s="3" t="s">
        <v>29</v>
      </c>
      <c r="G17" s="3" t="s">
        <v>29</v>
      </c>
      <c r="H17" s="3" t="s">
        <v>70</v>
      </c>
      <c r="I17" s="3" t="s">
        <v>100</v>
      </c>
      <c r="J17" s="43" t="s">
        <v>89</v>
      </c>
      <c r="K17" s="3" t="s">
        <v>27</v>
      </c>
      <c r="L17" s="3" t="s">
        <v>96</v>
      </c>
      <c r="M17" s="3" t="s">
        <v>29</v>
      </c>
      <c r="N17" s="3" t="s">
        <v>30</v>
      </c>
      <c r="O17" s="3" t="s">
        <v>26</v>
      </c>
      <c r="P17" s="3" t="s">
        <v>29</v>
      </c>
      <c r="Q17" s="3" t="s">
        <v>29</v>
      </c>
      <c r="R17" s="5" t="s">
        <v>101</v>
      </c>
      <c r="S17" s="3" t="s">
        <v>29</v>
      </c>
      <c r="T17" s="3" t="s">
        <v>29</v>
      </c>
    </row>
    <row r="18" spans="1:20" s="91" customFormat="1" ht="46.2" customHeight="1">
      <c r="A18" s="87">
        <v>63</v>
      </c>
      <c r="B18" s="87"/>
      <c r="C18" s="88">
        <v>45924</v>
      </c>
      <c r="D18" s="87" t="s">
        <v>448</v>
      </c>
      <c r="E18" s="89" t="s">
        <v>449</v>
      </c>
      <c r="F18" s="89" t="s">
        <v>455</v>
      </c>
      <c r="G18" s="90">
        <v>0.65277777777777779</v>
      </c>
      <c r="H18" s="89" t="s">
        <v>453</v>
      </c>
      <c r="I18" s="89" t="s">
        <v>454</v>
      </c>
      <c r="J18" s="61" t="s">
        <v>451</v>
      </c>
      <c r="K18" s="62" t="s">
        <v>27</v>
      </c>
      <c r="L18" s="87" t="s">
        <v>28</v>
      </c>
      <c r="M18" s="87" t="s">
        <v>29</v>
      </c>
      <c r="N18" s="87" t="s">
        <v>29</v>
      </c>
      <c r="O18" s="87" t="s">
        <v>450</v>
      </c>
      <c r="P18" s="87" t="s">
        <v>29</v>
      </c>
      <c r="Q18" s="87" t="s">
        <v>26</v>
      </c>
      <c r="R18" s="87" t="s">
        <v>452</v>
      </c>
      <c r="S18" s="87" t="s">
        <v>75</v>
      </c>
      <c r="T18" s="87" t="s">
        <v>29</v>
      </c>
    </row>
    <row r="19" spans="1:20" s="96" customFormat="1" ht="55.8" customHeight="1">
      <c r="A19" s="92">
        <v>64</v>
      </c>
      <c r="B19" s="92"/>
      <c r="C19" s="88">
        <v>45925</v>
      </c>
      <c r="D19" s="92" t="s">
        <v>466</v>
      </c>
      <c r="E19" s="92" t="s">
        <v>467</v>
      </c>
      <c r="F19" s="89" t="s">
        <v>455</v>
      </c>
      <c r="G19" s="130">
        <v>0.37847222222222221</v>
      </c>
      <c r="H19" s="93" t="s">
        <v>468</v>
      </c>
      <c r="I19" s="92" t="s">
        <v>71</v>
      </c>
      <c r="J19" s="93" t="s">
        <v>451</v>
      </c>
      <c r="K19" s="62" t="s">
        <v>27</v>
      </c>
      <c r="L19" s="87" t="s">
        <v>28</v>
      </c>
      <c r="M19" s="87" t="s">
        <v>29</v>
      </c>
      <c r="N19" s="87" t="s">
        <v>29</v>
      </c>
      <c r="O19" s="87" t="s">
        <v>450</v>
      </c>
      <c r="P19" s="87" t="s">
        <v>29</v>
      </c>
      <c r="Q19" s="87" t="s">
        <v>26</v>
      </c>
      <c r="R19" s="93" t="s">
        <v>469</v>
      </c>
      <c r="S19" s="87" t="s">
        <v>75</v>
      </c>
      <c r="T19" s="87" t="s">
        <v>29</v>
      </c>
    </row>
    <row r="20" spans="1:20" s="96" customFormat="1" ht="67.2" customHeight="1">
      <c r="A20" s="92">
        <v>65</v>
      </c>
      <c r="B20" s="92"/>
      <c r="C20" s="140">
        <v>45926</v>
      </c>
      <c r="D20" s="92" t="s">
        <v>466</v>
      </c>
      <c r="E20" s="93" t="s">
        <v>477</v>
      </c>
      <c r="F20" s="93" t="s">
        <v>476</v>
      </c>
      <c r="G20" s="92" t="s">
        <v>29</v>
      </c>
      <c r="H20" s="93" t="s">
        <v>453</v>
      </c>
      <c r="I20" s="92" t="s">
        <v>478</v>
      </c>
      <c r="J20" s="92" t="s">
        <v>479</v>
      </c>
      <c r="K20" s="62" t="s">
        <v>27</v>
      </c>
      <c r="L20" s="89" t="s">
        <v>480</v>
      </c>
      <c r="M20" s="92" t="s">
        <v>29</v>
      </c>
      <c r="N20" s="87" t="s">
        <v>29</v>
      </c>
      <c r="O20" s="87" t="s">
        <v>481</v>
      </c>
      <c r="P20" s="87" t="s">
        <v>29</v>
      </c>
      <c r="Q20" s="87" t="s">
        <v>26</v>
      </c>
      <c r="R20" s="93" t="s">
        <v>482</v>
      </c>
      <c r="S20" s="92" t="s">
        <v>483</v>
      </c>
      <c r="T20" s="92" t="s">
        <v>29</v>
      </c>
    </row>
    <row r="21" spans="1:20" s="40" customFormat="1" ht="58.8" customHeight="1">
      <c r="A21" s="39">
        <v>66</v>
      </c>
      <c r="B21" s="39"/>
      <c r="C21" s="47">
        <v>45925</v>
      </c>
      <c r="D21" s="38" t="s">
        <v>500</v>
      </c>
      <c r="E21" s="38" t="s">
        <v>501</v>
      </c>
      <c r="F21" s="39" t="s">
        <v>502</v>
      </c>
      <c r="G21" s="45">
        <v>0.38194444444444442</v>
      </c>
      <c r="H21" s="38" t="s">
        <v>453</v>
      </c>
      <c r="I21" s="39" t="s">
        <v>378</v>
      </c>
      <c r="J21" s="38" t="s">
        <v>524</v>
      </c>
      <c r="K21" s="7" t="s">
        <v>27</v>
      </c>
      <c r="L21" s="39" t="s">
        <v>28</v>
      </c>
      <c r="M21" s="39" t="s">
        <v>29</v>
      </c>
      <c r="N21" s="37" t="s">
        <v>29</v>
      </c>
      <c r="O21" s="38" t="s">
        <v>510</v>
      </c>
      <c r="P21" s="37" t="s">
        <v>29</v>
      </c>
      <c r="Q21" s="37" t="s">
        <v>26</v>
      </c>
      <c r="R21" s="38" t="s">
        <v>511</v>
      </c>
      <c r="S21" s="39" t="s">
        <v>512</v>
      </c>
      <c r="T21" s="39" t="s">
        <v>29</v>
      </c>
    </row>
    <row r="22" spans="1:20" ht="14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ht="14.2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ht="14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ht="14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 spans="1:20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 spans="1:20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 spans="1:20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 spans="1:2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 spans="1:20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 spans="1:20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 spans="1:20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 spans="1:20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 spans="1:2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 spans="1:20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20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0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 spans="1:20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spans="1:2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spans="1:20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spans="1:20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spans="1:20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 spans="1:20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0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 spans="1:20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 spans="1:20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 spans="1:20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 spans="1:20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spans="1:2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spans="1:20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0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 spans="1:20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 spans="1:20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 spans="1:20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 spans="1:20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 spans="1:20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 spans="1:20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 spans="1:2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 spans="1:20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 spans="1:20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 spans="1:20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 spans="1:20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 spans="1:20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 spans="1:20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 spans="1:20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 spans="1:20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 spans="1: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 spans="1:20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 spans="1:20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 spans="1:20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 spans="1:20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 spans="1:20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 spans="1:20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 spans="1:20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 spans="1:20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 spans="1:20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 spans="1:2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 spans="1:20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 spans="1:20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 spans="1:20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 spans="1:20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 spans="1:20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 spans="1:20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 spans="1:20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 spans="1:20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 spans="1:20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 spans="1:2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 spans="1:20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 spans="1:20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 spans="1:20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 spans="1:20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 spans="1:20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 spans="1:20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 spans="1:20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 spans="1:20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 spans="1:20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 spans="1:2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 spans="1:20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 spans="1:20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 spans="1:20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 spans="1:20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 spans="1:20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 spans="1:20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 spans="1:20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 spans="1:20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 spans="1:20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 spans="1:2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 spans="1:20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 spans="1:20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 spans="1:20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 spans="1:20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 spans="1:20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 spans="1:20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 spans="1:20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 spans="1:20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 spans="1:20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 spans="1:2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 spans="1:20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 spans="1:20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 spans="1:20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 spans="1:20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 spans="1:20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 spans="1:20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 spans="1:20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 spans="1:20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 spans="1:20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 spans="1:2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 spans="1:20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 spans="1:20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 spans="1:20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 spans="1:20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 spans="1:20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 spans="1:20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 spans="1:20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 spans="1:20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 spans="1:20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 spans="1:2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 spans="1:20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 spans="1:20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 spans="1:20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 spans="1:20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 spans="1:20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 spans="1:20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 spans="1:20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 spans="1:20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 spans="1:20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 spans="1:2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 spans="1:20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  <row r="202" spans="1:20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</row>
    <row r="203" spans="1:20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</row>
    <row r="204" spans="1:20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</row>
    <row r="205" spans="1:20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</row>
    <row r="206" spans="1:20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</row>
    <row r="207" spans="1:20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</row>
    <row r="208" spans="1:20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</row>
    <row r="209" spans="1:20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</row>
    <row r="210" spans="1:2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</row>
    <row r="211" spans="1:20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</row>
    <row r="212" spans="1:20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</row>
    <row r="213" spans="1:20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</row>
    <row r="214" spans="1:20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</row>
    <row r="215" spans="1:20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</row>
    <row r="216" spans="1:20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</row>
    <row r="217" spans="1:20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</row>
    <row r="218" spans="1:20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</row>
    <row r="219" spans="1:20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</row>
    <row r="220" spans="1: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</row>
    <row r="221" spans="1:20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</row>
    <row r="222" spans="1:20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</row>
    <row r="223" spans="1:20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</row>
    <row r="224" spans="1:20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</row>
    <row r="225" spans="1:20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</row>
    <row r="226" spans="1:20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</row>
    <row r="227" spans="1:20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</row>
    <row r="228" spans="1:20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</row>
    <row r="229" spans="1:20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</row>
    <row r="230" spans="1:2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</row>
    <row r="231" spans="1:20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</row>
    <row r="232" spans="1:20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</row>
    <row r="233" spans="1:20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</row>
    <row r="234" spans="1:20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</row>
    <row r="235" spans="1:20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</row>
    <row r="236" spans="1:20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</row>
    <row r="237" spans="1:20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</row>
    <row r="238" spans="1:20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</row>
    <row r="239" spans="1:20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</row>
    <row r="240" spans="1:2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</row>
    <row r="241" spans="1:20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</row>
    <row r="242" spans="1:20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</row>
    <row r="243" spans="1:20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</row>
    <row r="244" spans="1:20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</row>
    <row r="245" spans="1:20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</row>
    <row r="246" spans="1:20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</row>
    <row r="247" spans="1:20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</row>
    <row r="248" spans="1:20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</row>
    <row r="249" spans="1:20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</row>
    <row r="250" spans="1:2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</row>
    <row r="251" spans="1:20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</row>
    <row r="252" spans="1:20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</row>
    <row r="253" spans="1:20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</row>
    <row r="254" spans="1:20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</row>
    <row r="255" spans="1:20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</row>
    <row r="256" spans="1:20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</row>
    <row r="257" spans="1:20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</row>
    <row r="258" spans="1:20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</row>
    <row r="259" spans="1:20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</row>
    <row r="260" spans="1:2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</row>
    <row r="261" spans="1:20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</row>
    <row r="262" spans="1:20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</row>
    <row r="263" spans="1:20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</row>
    <row r="264" spans="1:20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</row>
    <row r="265" spans="1:20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</row>
    <row r="266" spans="1:20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</row>
    <row r="267" spans="1:20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</row>
    <row r="268" spans="1:20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</row>
    <row r="269" spans="1:20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</row>
    <row r="270" spans="1:2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</row>
    <row r="271" spans="1:20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</row>
    <row r="272" spans="1:20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</row>
    <row r="273" spans="1:20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</row>
    <row r="274" spans="1:20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</row>
    <row r="275" spans="1:20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</row>
    <row r="276" spans="1:20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</row>
    <row r="277" spans="1:20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</row>
    <row r="278" spans="1:20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</row>
    <row r="279" spans="1:20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</row>
    <row r="280" spans="1:2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</row>
    <row r="281" spans="1:20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</row>
    <row r="282" spans="1:20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</row>
    <row r="283" spans="1:20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</row>
    <row r="284" spans="1:20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</row>
    <row r="285" spans="1:20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</row>
    <row r="286" spans="1:20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</row>
    <row r="287" spans="1:20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</row>
    <row r="288" spans="1:20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</row>
    <row r="289" spans="1:20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</row>
    <row r="290" spans="1:2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</row>
    <row r="291" spans="1:20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</row>
    <row r="292" spans="1:20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</row>
    <row r="293" spans="1:20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</row>
    <row r="294" spans="1:20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</row>
    <row r="295" spans="1:20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</row>
    <row r="296" spans="1:20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</row>
    <row r="297" spans="1:20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</row>
    <row r="298" spans="1:20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</row>
    <row r="299" spans="1:20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</row>
    <row r="300" spans="1:2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</row>
    <row r="301" spans="1:20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</row>
    <row r="302" spans="1:20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</row>
    <row r="303" spans="1:20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</row>
    <row r="304" spans="1:20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</row>
    <row r="305" spans="1:20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</row>
    <row r="306" spans="1:20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</row>
    <row r="307" spans="1:20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</row>
    <row r="308" spans="1:20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</row>
    <row r="309" spans="1:20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</row>
    <row r="310" spans="1:2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</row>
    <row r="311" spans="1:20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</row>
    <row r="312" spans="1:20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</row>
    <row r="313" spans="1:20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</row>
    <row r="314" spans="1:20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</row>
    <row r="315" spans="1:20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</row>
    <row r="316" spans="1:20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</row>
    <row r="317" spans="1:20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</row>
    <row r="318" spans="1:20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</row>
    <row r="319" spans="1:20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</row>
    <row r="320" spans="1: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</row>
    <row r="321" spans="1:20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</row>
    <row r="322" spans="1:20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</row>
    <row r="323" spans="1:20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</row>
    <row r="324" spans="1:20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</row>
    <row r="325" spans="1:20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</row>
    <row r="326" spans="1:20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</row>
    <row r="327" spans="1:20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</row>
    <row r="328" spans="1:20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</row>
    <row r="329" spans="1:20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</row>
    <row r="330" spans="1:2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</row>
    <row r="331" spans="1:20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</row>
    <row r="332" spans="1:20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</row>
    <row r="333" spans="1:20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</row>
    <row r="334" spans="1:20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</row>
    <row r="335" spans="1:20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</row>
    <row r="336" spans="1:20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</row>
    <row r="337" spans="1:20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</row>
    <row r="338" spans="1:20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</row>
    <row r="339" spans="1:20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</row>
    <row r="340" spans="1:2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</row>
    <row r="341" spans="1:20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</row>
    <row r="342" spans="1:20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</row>
    <row r="343" spans="1:20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</row>
    <row r="344" spans="1:20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</row>
    <row r="345" spans="1:20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</row>
    <row r="346" spans="1:20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</row>
    <row r="347" spans="1:20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</row>
    <row r="348" spans="1:20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</row>
    <row r="349" spans="1:20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</row>
    <row r="350" spans="1:2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</row>
    <row r="351" spans="1:20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</row>
    <row r="352" spans="1:20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</row>
    <row r="353" spans="1:20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</row>
    <row r="354" spans="1:20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</row>
    <row r="355" spans="1:20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</row>
    <row r="356" spans="1:20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</row>
    <row r="357" spans="1:20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</row>
    <row r="358" spans="1:20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</row>
    <row r="359" spans="1:20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</row>
    <row r="360" spans="1:2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</row>
    <row r="361" spans="1:20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</row>
    <row r="362" spans="1:20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</row>
    <row r="363" spans="1:20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</row>
    <row r="364" spans="1:20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</row>
    <row r="365" spans="1:20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</row>
    <row r="366" spans="1:20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</row>
    <row r="367" spans="1:20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</row>
    <row r="368" spans="1:20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</row>
    <row r="369" spans="1:20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</row>
    <row r="370" spans="1:2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</row>
    <row r="371" spans="1:20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</row>
    <row r="372" spans="1:20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</row>
    <row r="373" spans="1:20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</row>
    <row r="374" spans="1:20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</row>
    <row r="375" spans="1:20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</row>
    <row r="376" spans="1:20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</row>
    <row r="377" spans="1:20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</row>
    <row r="378" spans="1:20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</row>
    <row r="379" spans="1:20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</row>
    <row r="380" spans="1:2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</row>
    <row r="381" spans="1:20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</row>
    <row r="382" spans="1:20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</row>
    <row r="383" spans="1:20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</row>
    <row r="384" spans="1:20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</row>
    <row r="385" spans="1:20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</row>
    <row r="386" spans="1:20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</row>
    <row r="387" spans="1:20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</row>
    <row r="388" spans="1:20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</row>
    <row r="389" spans="1:20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</row>
    <row r="390" spans="1:2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</row>
    <row r="391" spans="1:20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</row>
    <row r="392" spans="1:20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</row>
    <row r="393" spans="1:20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</row>
    <row r="394" spans="1:20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</row>
    <row r="395" spans="1:20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</row>
    <row r="396" spans="1:20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</row>
    <row r="397" spans="1:20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</row>
    <row r="398" spans="1:20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</row>
    <row r="399" spans="1:20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</row>
    <row r="400" spans="1:2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</row>
    <row r="401" spans="1:20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</row>
    <row r="402" spans="1:20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</row>
    <row r="403" spans="1:20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</row>
    <row r="404" spans="1:20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</row>
    <row r="405" spans="1:20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</row>
    <row r="406" spans="1:20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</row>
    <row r="407" spans="1:20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</row>
    <row r="408" spans="1:20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</row>
    <row r="409" spans="1:20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</row>
    <row r="410" spans="1:2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</row>
    <row r="411" spans="1:20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</row>
    <row r="412" spans="1:20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</row>
    <row r="413" spans="1:20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</row>
    <row r="414" spans="1:20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</row>
    <row r="415" spans="1:20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</row>
    <row r="416" spans="1:20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</row>
    <row r="417" spans="1:20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</row>
    <row r="418" spans="1:20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</row>
    <row r="419" spans="1:20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</row>
    <row r="420" spans="1: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</row>
    <row r="421" spans="1:20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</row>
    <row r="422" spans="1:20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</row>
    <row r="423" spans="1:20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</row>
    <row r="424" spans="1:20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</row>
    <row r="425" spans="1:20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</row>
    <row r="426" spans="1:20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</row>
    <row r="427" spans="1:20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</row>
    <row r="428" spans="1:20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</row>
    <row r="429" spans="1:20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</row>
    <row r="430" spans="1:2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</row>
    <row r="431" spans="1:20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</row>
    <row r="432" spans="1:20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</row>
    <row r="433" spans="1:20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</row>
    <row r="434" spans="1:20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</row>
    <row r="435" spans="1:20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</row>
    <row r="436" spans="1:20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</row>
    <row r="437" spans="1:20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</row>
    <row r="438" spans="1:20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</row>
    <row r="439" spans="1:20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</row>
    <row r="440" spans="1:2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</row>
    <row r="441" spans="1:20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</row>
    <row r="442" spans="1:20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</row>
    <row r="443" spans="1:20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</row>
    <row r="444" spans="1:20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</row>
    <row r="445" spans="1:20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</row>
    <row r="446" spans="1:20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</row>
    <row r="447" spans="1:20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</row>
    <row r="448" spans="1:20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</row>
    <row r="449" spans="1:20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</row>
    <row r="450" spans="1:2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</row>
    <row r="451" spans="1:20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</row>
    <row r="452" spans="1:20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</row>
    <row r="453" spans="1:20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</row>
    <row r="454" spans="1:20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</row>
    <row r="455" spans="1:20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</row>
    <row r="456" spans="1:20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</row>
    <row r="457" spans="1:20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</row>
    <row r="458" spans="1:20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</row>
    <row r="459" spans="1:20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</row>
    <row r="460" spans="1:2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</row>
    <row r="461" spans="1:20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</row>
    <row r="462" spans="1:20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</row>
    <row r="463" spans="1:20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</row>
    <row r="464" spans="1:20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</row>
    <row r="465" spans="1:20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</row>
    <row r="466" spans="1:20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</row>
    <row r="467" spans="1:20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</row>
    <row r="468" spans="1:20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</row>
    <row r="469" spans="1:20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</row>
    <row r="470" spans="1:2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</row>
    <row r="471" spans="1:20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</row>
    <row r="472" spans="1:20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</row>
    <row r="473" spans="1:20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</row>
    <row r="474" spans="1:20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</row>
    <row r="475" spans="1:20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</row>
    <row r="476" spans="1:20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</row>
    <row r="477" spans="1:20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</row>
    <row r="478" spans="1:20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</row>
    <row r="479" spans="1:20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</row>
    <row r="480" spans="1:2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</row>
    <row r="481" spans="1:20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</row>
    <row r="482" spans="1:20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</row>
    <row r="483" spans="1:20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</row>
    <row r="484" spans="1:20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</row>
    <row r="485" spans="1:20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</row>
    <row r="486" spans="1:20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</row>
    <row r="487" spans="1:20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</row>
    <row r="488" spans="1:20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</row>
    <row r="489" spans="1:20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</row>
    <row r="490" spans="1:2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</row>
    <row r="491" spans="1:20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</row>
    <row r="492" spans="1:20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</row>
    <row r="493" spans="1:20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</row>
    <row r="494" spans="1:20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</row>
    <row r="495" spans="1:20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</row>
    <row r="496" spans="1:20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</row>
    <row r="497" spans="1:20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</row>
    <row r="498" spans="1:20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</row>
    <row r="499" spans="1:20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</row>
    <row r="500" spans="1:2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</row>
    <row r="501" spans="1:20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</row>
    <row r="502" spans="1:20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</row>
    <row r="503" spans="1:20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</row>
    <row r="504" spans="1:20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</row>
    <row r="505" spans="1:20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</row>
    <row r="506" spans="1:20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</row>
    <row r="507" spans="1:20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</row>
    <row r="508" spans="1:20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</row>
    <row r="509" spans="1:20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</row>
    <row r="510" spans="1:2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</row>
    <row r="511" spans="1:20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</row>
    <row r="512" spans="1:20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</row>
    <row r="513" spans="1:20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</row>
    <row r="514" spans="1:20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</row>
    <row r="515" spans="1:20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</row>
    <row r="516" spans="1:20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</row>
    <row r="517" spans="1:20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</row>
    <row r="518" spans="1:20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</row>
    <row r="519" spans="1:20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</row>
    <row r="520" spans="1: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</row>
    <row r="521" spans="1:20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</row>
    <row r="522" spans="1:20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</row>
    <row r="523" spans="1:20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</row>
    <row r="524" spans="1:20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</row>
    <row r="525" spans="1:20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</row>
    <row r="526" spans="1:20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</row>
    <row r="527" spans="1:20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</row>
    <row r="528" spans="1:20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</row>
    <row r="529" spans="1:20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</row>
    <row r="530" spans="1:2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</row>
    <row r="531" spans="1:20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</row>
    <row r="532" spans="1:20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</row>
    <row r="533" spans="1:20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</row>
    <row r="534" spans="1:20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</row>
    <row r="535" spans="1:20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</row>
    <row r="536" spans="1:20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</row>
    <row r="537" spans="1:20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</row>
    <row r="538" spans="1:20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</row>
    <row r="539" spans="1:20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</row>
    <row r="540" spans="1:2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</row>
    <row r="541" spans="1:20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</row>
    <row r="542" spans="1:20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</row>
    <row r="543" spans="1:20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</row>
    <row r="544" spans="1:20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</row>
    <row r="545" spans="1:20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</row>
    <row r="546" spans="1:20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</row>
    <row r="547" spans="1:20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</row>
    <row r="548" spans="1:20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</row>
    <row r="549" spans="1:20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</row>
    <row r="550" spans="1:2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</row>
    <row r="551" spans="1:20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</row>
    <row r="552" spans="1:20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</row>
    <row r="553" spans="1:20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</row>
    <row r="554" spans="1:20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</row>
    <row r="555" spans="1:20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</row>
    <row r="556" spans="1:20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</row>
    <row r="557" spans="1:20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</row>
    <row r="558" spans="1:20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</row>
    <row r="559" spans="1:20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</row>
    <row r="560" spans="1:2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</row>
    <row r="561" spans="1:20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</row>
    <row r="562" spans="1:20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</row>
    <row r="563" spans="1:20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</row>
    <row r="564" spans="1:20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</row>
    <row r="565" spans="1:20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</row>
    <row r="566" spans="1:20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</row>
    <row r="567" spans="1:20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</row>
    <row r="568" spans="1:20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</row>
    <row r="569" spans="1:20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</row>
    <row r="570" spans="1:2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</row>
    <row r="571" spans="1:20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</row>
    <row r="572" spans="1:20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</row>
    <row r="573" spans="1:20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</row>
    <row r="574" spans="1:20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</row>
    <row r="575" spans="1:20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</row>
    <row r="576" spans="1:20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</row>
    <row r="577" spans="1:20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</row>
    <row r="578" spans="1:20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</row>
    <row r="579" spans="1:20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</row>
    <row r="580" spans="1:2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</row>
    <row r="581" spans="1:20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</row>
    <row r="582" spans="1:20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</row>
    <row r="583" spans="1:20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</row>
    <row r="584" spans="1:20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</row>
    <row r="585" spans="1:20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</row>
    <row r="586" spans="1:20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</row>
    <row r="587" spans="1:20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</row>
    <row r="588" spans="1:20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</row>
    <row r="589" spans="1:20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</row>
    <row r="590" spans="1:2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</row>
    <row r="591" spans="1:20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</row>
    <row r="592" spans="1:20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</row>
    <row r="593" spans="1:20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</row>
    <row r="594" spans="1:20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</row>
    <row r="595" spans="1:20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</row>
    <row r="596" spans="1:20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</row>
    <row r="597" spans="1:20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</row>
    <row r="598" spans="1:20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</row>
    <row r="599" spans="1:20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</row>
    <row r="600" spans="1:2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</row>
    <row r="601" spans="1:20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</row>
    <row r="602" spans="1:20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</row>
    <row r="603" spans="1:20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</row>
    <row r="604" spans="1:20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</row>
    <row r="605" spans="1:20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</row>
    <row r="606" spans="1:20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</row>
    <row r="607" spans="1:20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</row>
    <row r="608" spans="1:20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</row>
    <row r="609" spans="1:20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</row>
    <row r="610" spans="1:2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</row>
    <row r="611" spans="1:20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</row>
    <row r="612" spans="1:20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</row>
    <row r="613" spans="1:20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</row>
    <row r="614" spans="1:20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</row>
    <row r="615" spans="1:20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</row>
    <row r="616" spans="1:20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</row>
    <row r="617" spans="1:20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</row>
    <row r="618" spans="1:20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</row>
    <row r="619" spans="1:20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</row>
    <row r="620" spans="1: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</row>
    <row r="621" spans="1:20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</row>
    <row r="622" spans="1:20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</row>
    <row r="623" spans="1:20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</row>
    <row r="624" spans="1:20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</row>
    <row r="625" spans="1:20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</row>
    <row r="626" spans="1:20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</row>
    <row r="627" spans="1:20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</row>
    <row r="628" spans="1:20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</row>
    <row r="629" spans="1:20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</row>
    <row r="630" spans="1:2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</row>
    <row r="631" spans="1:20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</row>
    <row r="632" spans="1:20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</row>
    <row r="633" spans="1:20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</row>
    <row r="634" spans="1:20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</row>
    <row r="635" spans="1:20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</row>
    <row r="636" spans="1:20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</row>
    <row r="637" spans="1:20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</row>
    <row r="638" spans="1:20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</row>
    <row r="639" spans="1:20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</row>
    <row r="640" spans="1:2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</row>
    <row r="641" spans="1:20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</row>
    <row r="642" spans="1:20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</row>
    <row r="643" spans="1:20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</row>
    <row r="644" spans="1:20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</row>
    <row r="645" spans="1:20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</row>
    <row r="646" spans="1:20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</row>
    <row r="647" spans="1:20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</row>
    <row r="648" spans="1:20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</row>
    <row r="649" spans="1:20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</row>
    <row r="650" spans="1:2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</row>
    <row r="651" spans="1:20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</row>
    <row r="652" spans="1:20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</row>
    <row r="653" spans="1:20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</row>
    <row r="654" spans="1:20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</row>
    <row r="655" spans="1:20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</row>
    <row r="656" spans="1:20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</row>
    <row r="657" spans="1:20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</row>
    <row r="658" spans="1:20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</row>
    <row r="659" spans="1:20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</row>
    <row r="660" spans="1:2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</row>
    <row r="661" spans="1:20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</row>
    <row r="662" spans="1:20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</row>
    <row r="663" spans="1:20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</row>
    <row r="664" spans="1:20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</row>
    <row r="665" spans="1:20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</row>
    <row r="666" spans="1:20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</row>
    <row r="667" spans="1:20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</row>
    <row r="668" spans="1:20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</row>
    <row r="669" spans="1:20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</row>
    <row r="670" spans="1:2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</row>
    <row r="671" spans="1:20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</row>
    <row r="672" spans="1:20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</row>
    <row r="673" spans="1:20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</row>
    <row r="674" spans="1:20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</row>
    <row r="675" spans="1:20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</row>
    <row r="676" spans="1:20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</row>
    <row r="677" spans="1:20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</row>
    <row r="678" spans="1:20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</row>
    <row r="679" spans="1:20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</row>
    <row r="680" spans="1:2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</row>
    <row r="681" spans="1:20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</row>
    <row r="682" spans="1:20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</row>
    <row r="683" spans="1:20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</row>
    <row r="684" spans="1:20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</row>
    <row r="685" spans="1:20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</row>
    <row r="686" spans="1:20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</row>
    <row r="687" spans="1:20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</row>
    <row r="688" spans="1:20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</row>
    <row r="689" spans="1:20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</row>
    <row r="690" spans="1:2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</row>
    <row r="691" spans="1:20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</row>
    <row r="692" spans="1:20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</row>
    <row r="693" spans="1:20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</row>
    <row r="694" spans="1:20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</row>
    <row r="695" spans="1:20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</row>
    <row r="696" spans="1:20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</row>
    <row r="697" spans="1:20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</row>
    <row r="698" spans="1:20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</row>
    <row r="699" spans="1:20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</row>
    <row r="700" spans="1:2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</row>
    <row r="701" spans="1:20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</row>
    <row r="702" spans="1:20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</row>
    <row r="703" spans="1:20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</row>
    <row r="704" spans="1:20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</row>
    <row r="705" spans="1:20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</row>
    <row r="706" spans="1:20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</row>
    <row r="707" spans="1:20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</row>
    <row r="708" spans="1:20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</row>
    <row r="709" spans="1:20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</row>
    <row r="710" spans="1:2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</row>
    <row r="711" spans="1:20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</row>
    <row r="712" spans="1:20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</row>
    <row r="713" spans="1:20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</row>
    <row r="714" spans="1:20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</row>
    <row r="715" spans="1:20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</row>
    <row r="716" spans="1:20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</row>
    <row r="717" spans="1:20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</row>
    <row r="718" spans="1:20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</row>
    <row r="719" spans="1:20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</row>
    <row r="720" spans="1: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</row>
    <row r="721" spans="1:20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</row>
    <row r="722" spans="1:20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</row>
    <row r="723" spans="1:20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</row>
    <row r="724" spans="1:20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</row>
    <row r="725" spans="1:20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</row>
    <row r="726" spans="1:20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</row>
    <row r="727" spans="1:20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</row>
    <row r="728" spans="1:20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</row>
    <row r="729" spans="1:20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</row>
    <row r="730" spans="1:2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</row>
    <row r="731" spans="1:20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</row>
    <row r="732" spans="1:20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</row>
    <row r="733" spans="1:20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</row>
    <row r="734" spans="1:20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</row>
    <row r="735" spans="1:20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</row>
    <row r="736" spans="1:20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</row>
    <row r="737" spans="1:20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</row>
    <row r="738" spans="1:20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</row>
    <row r="739" spans="1:20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</row>
    <row r="740" spans="1:2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</row>
    <row r="741" spans="1:20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</row>
    <row r="742" spans="1:20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</row>
    <row r="743" spans="1:20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</row>
    <row r="744" spans="1:20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</row>
    <row r="745" spans="1:20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</row>
    <row r="746" spans="1:20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</row>
    <row r="747" spans="1:20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</row>
    <row r="748" spans="1:20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</row>
    <row r="749" spans="1:20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</row>
    <row r="750" spans="1:2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</row>
    <row r="752" spans="1:20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</row>
    <row r="753" spans="1:20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</row>
    <row r="754" spans="1:20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</row>
    <row r="755" spans="1:20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</row>
    <row r="756" spans="1:20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</row>
    <row r="757" spans="1:20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</row>
    <row r="758" spans="1:20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</row>
    <row r="759" spans="1:20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</row>
    <row r="760" spans="1:2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</row>
    <row r="761" spans="1:20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</row>
    <row r="762" spans="1:20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</row>
    <row r="763" spans="1:20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</row>
    <row r="764" spans="1:20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</row>
    <row r="765" spans="1:20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</row>
    <row r="766" spans="1:20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</row>
    <row r="767" spans="1:20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</row>
    <row r="768" spans="1:20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</row>
    <row r="769" spans="1:20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</row>
    <row r="770" spans="1:2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</row>
    <row r="771" spans="1:20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</row>
    <row r="772" spans="1:20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</row>
    <row r="773" spans="1:20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</row>
    <row r="774" spans="1:20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</row>
    <row r="775" spans="1:20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</row>
    <row r="776" spans="1:20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</row>
    <row r="777" spans="1:20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</row>
    <row r="778" spans="1:20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</row>
    <row r="779" spans="1:20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</row>
    <row r="780" spans="1:2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</row>
    <row r="781" spans="1:20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</row>
    <row r="782" spans="1:20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</row>
    <row r="783" spans="1:20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</row>
    <row r="784" spans="1:20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</row>
    <row r="785" spans="1:20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</row>
    <row r="786" spans="1:20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</row>
    <row r="787" spans="1:20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</row>
    <row r="788" spans="1:20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</row>
    <row r="789" spans="1:20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</row>
    <row r="790" spans="1:2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</row>
    <row r="791" spans="1:20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</row>
    <row r="792" spans="1:20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</row>
    <row r="793" spans="1:20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</row>
    <row r="794" spans="1:20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</row>
    <row r="795" spans="1:20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</row>
    <row r="796" spans="1:20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</row>
    <row r="797" spans="1:20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</row>
    <row r="798" spans="1:20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</row>
    <row r="799" spans="1:20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</row>
    <row r="800" spans="1:2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</row>
    <row r="801" spans="1:20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</row>
    <row r="802" spans="1:20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</row>
    <row r="803" spans="1:20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</row>
    <row r="804" spans="1:20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</row>
    <row r="805" spans="1:20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</row>
    <row r="806" spans="1:20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</row>
    <row r="807" spans="1:20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</row>
    <row r="808" spans="1:20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</row>
    <row r="809" spans="1:20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</row>
    <row r="810" spans="1:2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</row>
    <row r="811" spans="1:20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</row>
    <row r="812" spans="1:20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</row>
    <row r="813" spans="1:20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</row>
    <row r="814" spans="1:20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</row>
    <row r="815" spans="1:20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</row>
    <row r="816" spans="1:20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</row>
    <row r="817" spans="1:20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</row>
    <row r="818" spans="1:20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</row>
    <row r="819" spans="1:20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</row>
    <row r="820" spans="1: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</row>
    <row r="821" spans="1:20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</row>
    <row r="822" spans="1:20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</row>
    <row r="823" spans="1:20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</row>
    <row r="824" spans="1:20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</row>
    <row r="825" spans="1:20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</row>
    <row r="826" spans="1:20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</row>
    <row r="827" spans="1:20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</row>
    <row r="828" spans="1:20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</row>
    <row r="829" spans="1:20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</row>
    <row r="830" spans="1:2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</row>
    <row r="831" spans="1:20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</row>
    <row r="832" spans="1:20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</row>
    <row r="833" spans="1:20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</row>
    <row r="834" spans="1:20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</row>
    <row r="835" spans="1:20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</row>
    <row r="836" spans="1:20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</row>
    <row r="837" spans="1:20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</row>
    <row r="838" spans="1:20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</row>
    <row r="839" spans="1:20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</row>
    <row r="840" spans="1:2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</row>
    <row r="841" spans="1:20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</row>
    <row r="842" spans="1:20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</row>
    <row r="843" spans="1:20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</row>
    <row r="844" spans="1:20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</row>
    <row r="845" spans="1:20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</row>
    <row r="846" spans="1:20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</row>
    <row r="847" spans="1:20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</row>
    <row r="848" spans="1:20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</row>
    <row r="849" spans="1:20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</row>
    <row r="850" spans="1:2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</row>
    <row r="851" spans="1:20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</row>
    <row r="852" spans="1:20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</row>
    <row r="853" spans="1:20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</row>
    <row r="854" spans="1:20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</row>
    <row r="855" spans="1:20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</row>
    <row r="856" spans="1:20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</row>
    <row r="857" spans="1:20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</row>
    <row r="858" spans="1:20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</row>
    <row r="859" spans="1:20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</row>
    <row r="860" spans="1:2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</row>
    <row r="861" spans="1:20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</row>
    <row r="862" spans="1:20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</row>
    <row r="863" spans="1:20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</row>
    <row r="864" spans="1:20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</row>
    <row r="865" spans="1:20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</row>
    <row r="866" spans="1:20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</row>
    <row r="867" spans="1:20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</row>
    <row r="868" spans="1:20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</row>
    <row r="869" spans="1:20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</row>
    <row r="870" spans="1:2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</row>
    <row r="871" spans="1:20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</row>
    <row r="872" spans="1:20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</row>
    <row r="873" spans="1:20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</row>
    <row r="874" spans="1:20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</row>
    <row r="875" spans="1:20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</row>
    <row r="876" spans="1:20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</row>
    <row r="877" spans="1:20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</row>
    <row r="878" spans="1:20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</row>
    <row r="879" spans="1:20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</row>
    <row r="880" spans="1:2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</row>
    <row r="881" spans="1:20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</row>
    <row r="882" spans="1:20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</row>
    <row r="883" spans="1:20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</row>
    <row r="884" spans="1:20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</row>
    <row r="885" spans="1:20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</row>
    <row r="886" spans="1:20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</row>
    <row r="887" spans="1:20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</row>
    <row r="888" spans="1:20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</row>
    <row r="889" spans="1:20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</row>
    <row r="890" spans="1:2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</row>
    <row r="891" spans="1:20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</row>
    <row r="892" spans="1:20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</row>
    <row r="893" spans="1:20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</row>
    <row r="894" spans="1:20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</row>
    <row r="895" spans="1:20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</row>
    <row r="896" spans="1:20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</row>
    <row r="897" spans="1:20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</row>
    <row r="898" spans="1:20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</row>
    <row r="899" spans="1:20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</row>
    <row r="900" spans="1:2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</row>
    <row r="901" spans="1:20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</row>
    <row r="902" spans="1:20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</row>
    <row r="903" spans="1:20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</row>
    <row r="904" spans="1:20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</row>
    <row r="905" spans="1:20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</row>
    <row r="906" spans="1:20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</row>
    <row r="907" spans="1:20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</row>
    <row r="908" spans="1:20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</row>
    <row r="909" spans="1:20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</row>
    <row r="910" spans="1:2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</row>
    <row r="911" spans="1:20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</row>
    <row r="912" spans="1:20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</row>
    <row r="913" spans="1:20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</row>
    <row r="914" spans="1:20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</row>
    <row r="915" spans="1:20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</row>
    <row r="916" spans="1:20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</row>
    <row r="917" spans="1:20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</row>
    <row r="918" spans="1:20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</row>
    <row r="919" spans="1:20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</row>
    <row r="920" spans="1: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</row>
    <row r="921" spans="1:20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</row>
    <row r="922" spans="1:20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</row>
    <row r="923" spans="1:20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</row>
    <row r="924" spans="1:20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</row>
    <row r="925" spans="1:20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</row>
    <row r="926" spans="1:20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</row>
    <row r="927" spans="1:20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</row>
    <row r="928" spans="1:20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</row>
    <row r="929" spans="1:20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</row>
    <row r="930" spans="1:2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</row>
    <row r="931" spans="1:20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</row>
    <row r="932" spans="1:20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</row>
    <row r="933" spans="1:20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</row>
    <row r="934" spans="1:20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</row>
    <row r="935" spans="1:20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</row>
    <row r="936" spans="1:20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</row>
    <row r="937" spans="1:20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</row>
    <row r="938" spans="1:20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</row>
    <row r="939" spans="1:20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</row>
    <row r="940" spans="1:2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</row>
    <row r="941" spans="1:20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</row>
    <row r="942" spans="1:20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</row>
    <row r="943" spans="1:20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</row>
    <row r="944" spans="1:20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</row>
    <row r="945" spans="1:20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</row>
    <row r="946" spans="1:20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</row>
    <row r="947" spans="1:20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</row>
    <row r="948" spans="1:20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</row>
    <row r="949" spans="1:20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</row>
    <row r="950" spans="1:2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</row>
    <row r="951" spans="1:20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</row>
    <row r="952" spans="1:20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</row>
    <row r="953" spans="1:20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</row>
    <row r="954" spans="1:20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</row>
    <row r="955" spans="1:20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</row>
    <row r="956" spans="1:20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</row>
    <row r="957" spans="1:20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</row>
    <row r="958" spans="1:20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</row>
    <row r="959" spans="1:20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</row>
    <row r="960" spans="1:2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</row>
    <row r="961" spans="1:20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</row>
    <row r="962" spans="1:20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</row>
    <row r="963" spans="1:20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</row>
    <row r="964" spans="1:20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</row>
    <row r="965" spans="1:20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</row>
    <row r="966" spans="1:20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</row>
    <row r="967" spans="1:20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</row>
    <row r="968" spans="1:20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</row>
    <row r="969" spans="1:20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</row>
    <row r="970" spans="1:2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</row>
    <row r="971" spans="1:20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</row>
    <row r="972" spans="1:20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</row>
    <row r="973" spans="1:20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</row>
    <row r="974" spans="1:20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</row>
    <row r="975" spans="1:20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</row>
    <row r="976" spans="1:20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</row>
    <row r="977" spans="1:20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</row>
    <row r="978" spans="1:20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</row>
    <row r="979" spans="1:20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</row>
    <row r="980" spans="1:2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</row>
    <row r="981" spans="1:20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</row>
    <row r="982" spans="1:20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</row>
    <row r="983" spans="1:20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</row>
    <row r="984" spans="1:20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</row>
    <row r="985" spans="1:20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</row>
    <row r="986" spans="1:20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</row>
    <row r="987" spans="1:20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</row>
    <row r="988" spans="1:20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</row>
    <row r="989" spans="1:20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</row>
    <row r="990" spans="1:2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</row>
    <row r="991" spans="1:20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</row>
    <row r="992" spans="1:20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</row>
    <row r="993" spans="1:20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</row>
    <row r="994" spans="1:20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</row>
    <row r="995" spans="1:20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</row>
    <row r="996" spans="1:20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</row>
    <row r="997" spans="1:20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</row>
    <row r="998" spans="1:20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</row>
    <row r="999" spans="1:20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</row>
  </sheetData>
  <mergeCells count="15">
    <mergeCell ref="G9:G11"/>
    <mergeCell ref="A9:A11"/>
    <mergeCell ref="C9:C11"/>
    <mergeCell ref="D9:D11"/>
    <mergeCell ref="E9:E11"/>
    <mergeCell ref="F9:F11"/>
    <mergeCell ref="A1:G1"/>
    <mergeCell ref="H1:N1"/>
    <mergeCell ref="O1:S1"/>
    <mergeCell ref="A6:A7"/>
    <mergeCell ref="C6:C7"/>
    <mergeCell ref="D6:D7"/>
    <mergeCell ref="E6:E7"/>
    <mergeCell ref="F6:F7"/>
    <mergeCell ref="G6:G7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60"/>
  <sheetViews>
    <sheetView workbookViewId="0">
      <pane xSplit="1" ySplit="1" topLeftCell="B147" activePane="bottomRight" state="frozen"/>
      <selection pane="topRight" activeCell="B1" sqref="B1"/>
      <selection pane="bottomLeft" activeCell="A2" sqref="A2"/>
      <selection pane="bottomRight" activeCell="C150" sqref="C150"/>
    </sheetView>
  </sheetViews>
  <sheetFormatPr defaultColWidth="12.6640625" defaultRowHeight="15" customHeight="1"/>
  <cols>
    <col min="1" max="1" width="11.21875" customWidth="1"/>
    <col min="2" max="2" width="13.109375" customWidth="1"/>
    <col min="3" max="3" width="24.5546875" customWidth="1"/>
    <col min="4" max="4" width="10" customWidth="1"/>
    <col min="5" max="5" width="16.77734375" customWidth="1"/>
    <col min="6" max="6" width="14.6640625" customWidth="1"/>
    <col min="7" max="7" width="16.21875" customWidth="1"/>
    <col min="8" max="9" width="13.88671875" customWidth="1"/>
    <col min="10" max="11" width="12.44140625" customWidth="1"/>
    <col min="12" max="13" width="17.33203125" customWidth="1"/>
    <col min="14" max="14" width="12.33203125" customWidth="1"/>
    <col min="15" max="15" width="11.33203125" customWidth="1"/>
    <col min="16" max="16" width="40" customWidth="1"/>
    <col min="17" max="17" width="30.88671875" customWidth="1"/>
    <col min="18" max="21" width="8.6640625" customWidth="1"/>
    <col min="22" max="22" width="11.88671875" customWidth="1"/>
    <col min="23" max="26" width="8.6640625" customWidth="1"/>
  </cols>
  <sheetData>
    <row r="1" spans="1:26" ht="60" customHeight="1">
      <c r="A1" s="2" t="s">
        <v>102</v>
      </c>
      <c r="B1" s="2" t="s">
        <v>103</v>
      </c>
      <c r="C1" s="2" t="s">
        <v>104</v>
      </c>
      <c r="D1" s="2" t="s">
        <v>105</v>
      </c>
      <c r="E1" s="2" t="s">
        <v>106</v>
      </c>
      <c r="F1" s="2" t="s">
        <v>107</v>
      </c>
      <c r="G1" s="2" t="s">
        <v>108</v>
      </c>
      <c r="H1" s="2" t="s">
        <v>109</v>
      </c>
      <c r="I1" s="2" t="s">
        <v>108</v>
      </c>
      <c r="J1" s="2" t="s">
        <v>110</v>
      </c>
      <c r="K1" s="2" t="s">
        <v>111</v>
      </c>
      <c r="L1" s="2" t="s">
        <v>112</v>
      </c>
      <c r="M1" s="2" t="s">
        <v>108</v>
      </c>
      <c r="N1" s="2" t="s">
        <v>113</v>
      </c>
      <c r="O1" s="2" t="s">
        <v>114</v>
      </c>
      <c r="P1" s="48" t="s">
        <v>115</v>
      </c>
      <c r="Q1" s="2" t="s">
        <v>116</v>
      </c>
      <c r="R1" s="12"/>
      <c r="S1" s="12" t="s">
        <v>117</v>
      </c>
      <c r="T1" s="12" t="s">
        <v>118</v>
      </c>
      <c r="V1" s="12" t="s">
        <v>117</v>
      </c>
      <c r="W1" s="12" t="s">
        <v>118</v>
      </c>
    </row>
    <row r="2" spans="1:26" s="66" customFormat="1" ht="13.8" customHeight="1">
      <c r="A2" s="62">
        <v>51</v>
      </c>
      <c r="B2" s="60" t="s">
        <v>70</v>
      </c>
      <c r="C2" s="62" t="s">
        <v>119</v>
      </c>
      <c r="D2" s="60" t="s">
        <v>28</v>
      </c>
      <c r="E2" s="60" t="s">
        <v>120</v>
      </c>
      <c r="F2" s="62" t="s">
        <v>29</v>
      </c>
      <c r="G2" s="62" t="s">
        <v>29</v>
      </c>
      <c r="H2" s="62">
        <f>200*60</f>
        <v>12000</v>
      </c>
      <c r="I2" s="62" t="s">
        <v>26</v>
      </c>
      <c r="J2" s="70">
        <f>700/60</f>
        <v>11.666666666666666</v>
      </c>
      <c r="K2" s="62">
        <f>1200/60</f>
        <v>20</v>
      </c>
      <c r="L2" s="62" t="s">
        <v>29</v>
      </c>
      <c r="M2" s="62" t="s">
        <v>26</v>
      </c>
      <c r="N2" s="62" t="s">
        <v>29</v>
      </c>
      <c r="O2" s="62" t="s">
        <v>29</v>
      </c>
      <c r="P2" s="62" t="s">
        <v>121</v>
      </c>
      <c r="Q2" s="62" t="s">
        <v>122</v>
      </c>
      <c r="R2" s="65"/>
      <c r="S2" s="65">
        <f>(AVERAGE(J2:K2))/60</f>
        <v>0.2638888888888889</v>
      </c>
      <c r="T2" s="65">
        <f t="shared" ref="T2:T4" si="0">S2*H2</f>
        <v>3166.6666666666665</v>
      </c>
      <c r="U2" s="65"/>
      <c r="V2" s="65" t="e">
        <f t="shared" ref="V2:V4" si="1">AVERAGE(N2:O2)</f>
        <v>#DIV/0!</v>
      </c>
      <c r="W2" s="65" t="e">
        <f t="shared" ref="W2:W4" si="2">V2*L2</f>
        <v>#DIV/0!</v>
      </c>
      <c r="X2" s="65"/>
      <c r="Y2" s="65"/>
      <c r="Z2" s="65"/>
    </row>
    <row r="3" spans="1:26" s="66" customFormat="1" ht="14.25" customHeight="1">
      <c r="A3" s="62">
        <v>51</v>
      </c>
      <c r="B3" s="60" t="s">
        <v>68</v>
      </c>
      <c r="C3" s="62" t="s">
        <v>119</v>
      </c>
      <c r="D3" s="60" t="s">
        <v>28</v>
      </c>
      <c r="E3" s="60" t="s">
        <v>120</v>
      </c>
      <c r="F3" s="62" t="s">
        <v>29</v>
      </c>
      <c r="G3" s="62" t="s">
        <v>29</v>
      </c>
      <c r="H3" s="62">
        <v>30</v>
      </c>
      <c r="I3" s="62" t="s">
        <v>26</v>
      </c>
      <c r="J3" s="62">
        <v>100</v>
      </c>
      <c r="K3" s="62">
        <v>150</v>
      </c>
      <c r="L3" s="62" t="s">
        <v>29</v>
      </c>
      <c r="M3" s="62" t="s">
        <v>26</v>
      </c>
      <c r="N3" s="62" t="s">
        <v>29</v>
      </c>
      <c r="O3" s="62" t="s">
        <v>29</v>
      </c>
      <c r="P3" s="60" t="s">
        <v>123</v>
      </c>
      <c r="Q3" s="62" t="s">
        <v>124</v>
      </c>
      <c r="R3" s="65"/>
      <c r="S3" s="65">
        <f>(AVERAGE(J3:K3))</f>
        <v>125</v>
      </c>
      <c r="T3" s="65">
        <f t="shared" si="0"/>
        <v>3750</v>
      </c>
      <c r="U3" s="65"/>
      <c r="V3" s="65" t="e">
        <f t="shared" si="1"/>
        <v>#DIV/0!</v>
      </c>
      <c r="W3" s="65" t="e">
        <f t="shared" si="2"/>
        <v>#DIV/0!</v>
      </c>
      <c r="X3" s="65"/>
      <c r="Y3" s="65"/>
      <c r="Z3" s="65"/>
    </row>
    <row r="4" spans="1:26" s="66" customFormat="1" ht="25.2" customHeight="1">
      <c r="A4" s="62">
        <v>52</v>
      </c>
      <c r="B4" s="62" t="s">
        <v>70</v>
      </c>
      <c r="C4" s="61" t="s">
        <v>531</v>
      </c>
      <c r="D4" s="60" t="s">
        <v>28</v>
      </c>
      <c r="E4" s="62" t="s">
        <v>125</v>
      </c>
      <c r="F4" s="62" t="s">
        <v>29</v>
      </c>
      <c r="G4" s="62" t="s">
        <v>29</v>
      </c>
      <c r="H4" s="62">
        <f>1200*70</f>
        <v>84000</v>
      </c>
      <c r="I4" s="62" t="s">
        <v>26</v>
      </c>
      <c r="J4" s="70">
        <f>300/70</f>
        <v>4.2857142857142856</v>
      </c>
      <c r="K4" s="70">
        <f>450/70</f>
        <v>6.4285714285714288</v>
      </c>
      <c r="L4" s="62" t="s">
        <v>29</v>
      </c>
      <c r="M4" s="62" t="s">
        <v>26</v>
      </c>
      <c r="N4" s="62" t="s">
        <v>29</v>
      </c>
      <c r="O4" s="62" t="s">
        <v>29</v>
      </c>
      <c r="P4" s="62" t="s">
        <v>532</v>
      </c>
      <c r="Q4" s="62" t="s">
        <v>126</v>
      </c>
      <c r="R4" s="65"/>
      <c r="S4" s="65">
        <f>(AVERAGE(J4:K4))/60</f>
        <v>8.9285714285714288E-2</v>
      </c>
      <c r="T4" s="65">
        <f t="shared" si="0"/>
        <v>7500</v>
      </c>
      <c r="U4" s="65"/>
      <c r="V4" s="65" t="e">
        <f t="shared" si="1"/>
        <v>#DIV/0!</v>
      </c>
      <c r="W4" s="65" t="e">
        <f t="shared" si="2"/>
        <v>#DIV/0!</v>
      </c>
      <c r="X4" s="65"/>
      <c r="Y4" s="65"/>
      <c r="Z4" s="65"/>
    </row>
    <row r="5" spans="1:26" s="66" customFormat="1" ht="14.25" customHeight="1">
      <c r="A5" s="62">
        <v>52</v>
      </c>
      <c r="B5" s="62" t="s">
        <v>127</v>
      </c>
      <c r="C5" s="62" t="s">
        <v>128</v>
      </c>
      <c r="D5" s="60" t="s">
        <v>28</v>
      </c>
      <c r="E5" s="62" t="s">
        <v>125</v>
      </c>
      <c r="F5" s="62" t="s">
        <v>29</v>
      </c>
      <c r="G5" s="62" t="s">
        <v>29</v>
      </c>
      <c r="H5" s="62" t="s">
        <v>29</v>
      </c>
      <c r="I5" s="62" t="s">
        <v>29</v>
      </c>
      <c r="J5" s="62" t="s">
        <v>29</v>
      </c>
      <c r="K5" s="62" t="s">
        <v>29</v>
      </c>
      <c r="L5" s="62">
        <v>500</v>
      </c>
      <c r="M5" s="62" t="s">
        <v>26</v>
      </c>
      <c r="N5" s="62">
        <f>140/20</f>
        <v>7</v>
      </c>
      <c r="O5" s="62" t="s">
        <v>29</v>
      </c>
      <c r="P5" s="62" t="s">
        <v>129</v>
      </c>
      <c r="Q5" s="62" t="s">
        <v>534</v>
      </c>
      <c r="R5" s="65"/>
      <c r="S5" s="65"/>
      <c r="T5" s="65"/>
      <c r="U5" s="65"/>
      <c r="V5" s="65">
        <f t="shared" ref="V5:V36" si="3">AVERAGE(N5:O5)</f>
        <v>7</v>
      </c>
      <c r="W5" s="65">
        <f t="shared" ref="W5:W36" si="4">V5*L5</f>
        <v>3500</v>
      </c>
      <c r="X5" s="65"/>
      <c r="Y5" s="65"/>
      <c r="Z5" s="65"/>
    </row>
    <row r="6" spans="1:26" s="66" customFormat="1" ht="14.25" customHeight="1">
      <c r="A6" s="60">
        <v>53</v>
      </c>
      <c r="B6" s="60" t="s">
        <v>70</v>
      </c>
      <c r="C6" s="60" t="s">
        <v>130</v>
      </c>
      <c r="D6" s="60" t="s">
        <v>28</v>
      </c>
      <c r="E6" s="60" t="s">
        <v>120</v>
      </c>
      <c r="F6" s="72" t="s">
        <v>29</v>
      </c>
      <c r="G6" s="72" t="s">
        <v>29</v>
      </c>
      <c r="H6" s="15">
        <f>150*55</f>
        <v>8250</v>
      </c>
      <c r="I6" s="15" t="s">
        <v>26</v>
      </c>
      <c r="J6" s="16">
        <f>250/55</f>
        <v>4.5454545454545459</v>
      </c>
      <c r="K6" s="16">
        <f>300/55</f>
        <v>5.4545454545454541</v>
      </c>
      <c r="L6" s="72" t="s">
        <v>29</v>
      </c>
      <c r="M6" s="72" t="s">
        <v>29</v>
      </c>
      <c r="N6" s="72" t="s">
        <v>29</v>
      </c>
      <c r="O6" s="72" t="s">
        <v>29</v>
      </c>
      <c r="P6" s="60" t="s">
        <v>131</v>
      </c>
      <c r="Q6" s="60" t="s">
        <v>132</v>
      </c>
      <c r="R6" s="65"/>
      <c r="S6" s="65">
        <f>(AVERAGE(J6:K6))/60</f>
        <v>8.3333333333333329E-2</v>
      </c>
      <c r="T6" s="65">
        <f t="shared" ref="T6:T11" si="5">S6*H6</f>
        <v>687.5</v>
      </c>
      <c r="U6" s="65"/>
      <c r="V6" s="65" t="e">
        <f t="shared" si="3"/>
        <v>#DIV/0!</v>
      </c>
      <c r="W6" s="65" t="e">
        <f t="shared" si="4"/>
        <v>#DIV/0!</v>
      </c>
      <c r="X6" s="65"/>
      <c r="Y6" s="65"/>
      <c r="Z6" s="65"/>
    </row>
    <row r="7" spans="1:26" s="66" customFormat="1" ht="14.25" customHeight="1">
      <c r="A7" s="60">
        <v>53</v>
      </c>
      <c r="B7" s="60" t="s">
        <v>70</v>
      </c>
      <c r="C7" s="60" t="s">
        <v>133</v>
      </c>
      <c r="D7" s="60" t="s">
        <v>134</v>
      </c>
      <c r="E7" s="60" t="s">
        <v>120</v>
      </c>
      <c r="F7" s="15">
        <f>500*55</f>
        <v>27500</v>
      </c>
      <c r="G7" s="60" t="s">
        <v>26</v>
      </c>
      <c r="H7" s="15">
        <f>500*55</f>
        <v>27500</v>
      </c>
      <c r="I7" s="15" t="s">
        <v>26</v>
      </c>
      <c r="J7" s="16">
        <f>250/55</f>
        <v>4.5454545454545459</v>
      </c>
      <c r="K7" s="16">
        <f>300/55</f>
        <v>5.4545454545454541</v>
      </c>
      <c r="L7" s="72" t="s">
        <v>29</v>
      </c>
      <c r="M7" s="72" t="s">
        <v>29</v>
      </c>
      <c r="N7" s="72" t="s">
        <v>29</v>
      </c>
      <c r="O7" s="72" t="s">
        <v>29</v>
      </c>
      <c r="P7" s="60" t="s">
        <v>131</v>
      </c>
      <c r="Q7" s="60" t="s">
        <v>135</v>
      </c>
      <c r="R7" s="65"/>
      <c r="S7" s="65">
        <f>(AVERAGE(J7:K7))/60</f>
        <v>8.3333333333333329E-2</v>
      </c>
      <c r="T7" s="65">
        <f t="shared" si="5"/>
        <v>2291.6666666666665</v>
      </c>
      <c r="U7" s="65"/>
      <c r="V7" s="65" t="e">
        <f t="shared" si="3"/>
        <v>#DIV/0!</v>
      </c>
      <c r="W7" s="65" t="e">
        <f t="shared" si="4"/>
        <v>#DIV/0!</v>
      </c>
      <c r="X7" s="65"/>
      <c r="Y7" s="65"/>
      <c r="Z7" s="65"/>
    </row>
    <row r="8" spans="1:26" s="66" customFormat="1" ht="14.25" customHeight="1">
      <c r="A8" s="60">
        <v>53</v>
      </c>
      <c r="B8" s="60" t="s">
        <v>70</v>
      </c>
      <c r="C8" s="60" t="s">
        <v>136</v>
      </c>
      <c r="D8" s="60" t="s">
        <v>28</v>
      </c>
      <c r="E8" s="60" t="s">
        <v>120</v>
      </c>
      <c r="F8" s="73" t="s">
        <v>29</v>
      </c>
      <c r="G8" s="72" t="s">
        <v>29</v>
      </c>
      <c r="H8" s="15">
        <f>400*55</f>
        <v>22000</v>
      </c>
      <c r="I8" s="15" t="s">
        <v>26</v>
      </c>
      <c r="J8" s="16">
        <f>250/55</f>
        <v>4.5454545454545459</v>
      </c>
      <c r="K8" s="16">
        <f>300/55</f>
        <v>5.4545454545454541</v>
      </c>
      <c r="L8" s="72" t="s">
        <v>29</v>
      </c>
      <c r="M8" s="72" t="s">
        <v>29</v>
      </c>
      <c r="N8" s="72" t="s">
        <v>29</v>
      </c>
      <c r="O8" s="72" t="s">
        <v>29</v>
      </c>
      <c r="P8" s="60" t="s">
        <v>131</v>
      </c>
      <c r="Q8" s="60" t="s">
        <v>137</v>
      </c>
      <c r="R8" s="65"/>
      <c r="S8" s="65">
        <f>(AVERAGE(J8:K8))/60</f>
        <v>8.3333333333333329E-2</v>
      </c>
      <c r="T8" s="65">
        <f t="shared" si="5"/>
        <v>1833.3333333333333</v>
      </c>
      <c r="U8" s="65"/>
      <c r="V8" s="65" t="e">
        <f t="shared" si="3"/>
        <v>#DIV/0!</v>
      </c>
      <c r="W8" s="65" t="e">
        <f t="shared" si="4"/>
        <v>#DIV/0!</v>
      </c>
      <c r="X8" s="65"/>
      <c r="Y8" s="65"/>
      <c r="Z8" s="65"/>
    </row>
    <row r="9" spans="1:26" s="66" customFormat="1" ht="14.25" customHeight="1">
      <c r="A9" s="60">
        <v>53</v>
      </c>
      <c r="B9" s="60" t="s">
        <v>70</v>
      </c>
      <c r="C9" s="60" t="s">
        <v>138</v>
      </c>
      <c r="D9" s="60" t="s">
        <v>134</v>
      </c>
      <c r="E9" s="60" t="s">
        <v>120</v>
      </c>
      <c r="F9" s="15">
        <f>450*55</f>
        <v>24750</v>
      </c>
      <c r="G9" s="60" t="s">
        <v>26</v>
      </c>
      <c r="H9" s="15">
        <f>450*55</f>
        <v>24750</v>
      </c>
      <c r="I9" s="15" t="s">
        <v>26</v>
      </c>
      <c r="J9" s="16">
        <f>250/55</f>
        <v>4.5454545454545459</v>
      </c>
      <c r="K9" s="16">
        <f>300/55</f>
        <v>5.4545454545454541</v>
      </c>
      <c r="L9" s="72" t="s">
        <v>29</v>
      </c>
      <c r="M9" s="72" t="s">
        <v>29</v>
      </c>
      <c r="N9" s="72" t="s">
        <v>29</v>
      </c>
      <c r="O9" s="72" t="s">
        <v>29</v>
      </c>
      <c r="P9" s="60" t="s">
        <v>131</v>
      </c>
      <c r="Q9" s="60" t="s">
        <v>139</v>
      </c>
      <c r="R9" s="65"/>
      <c r="S9" s="65">
        <f>(AVERAGE(J9:K9))/60</f>
        <v>8.3333333333333329E-2</v>
      </c>
      <c r="T9" s="65">
        <f t="shared" si="5"/>
        <v>2062.5</v>
      </c>
      <c r="U9" s="65"/>
      <c r="V9" s="65" t="e">
        <f t="shared" si="3"/>
        <v>#DIV/0!</v>
      </c>
      <c r="W9" s="65" t="e">
        <f t="shared" si="4"/>
        <v>#DIV/0!</v>
      </c>
      <c r="X9" s="65"/>
      <c r="Y9" s="65"/>
      <c r="Z9" s="65"/>
    </row>
    <row r="10" spans="1:26" s="66" customFormat="1" ht="14.25" customHeight="1">
      <c r="A10" s="60">
        <v>53</v>
      </c>
      <c r="B10" s="60" t="s">
        <v>70</v>
      </c>
      <c r="C10" s="60" t="s">
        <v>140</v>
      </c>
      <c r="D10" s="60" t="s">
        <v>134</v>
      </c>
      <c r="E10" s="60" t="s">
        <v>120</v>
      </c>
      <c r="F10" s="15">
        <f>150*55</f>
        <v>8250</v>
      </c>
      <c r="G10" s="60" t="s">
        <v>26</v>
      </c>
      <c r="H10" s="15">
        <f>150*55</f>
        <v>8250</v>
      </c>
      <c r="I10" s="15" t="s">
        <v>26</v>
      </c>
      <c r="J10" s="16">
        <f>250/55</f>
        <v>4.5454545454545459</v>
      </c>
      <c r="K10" s="16">
        <f>300/55</f>
        <v>5.4545454545454541</v>
      </c>
      <c r="L10" s="72" t="s">
        <v>29</v>
      </c>
      <c r="M10" s="72" t="s">
        <v>29</v>
      </c>
      <c r="N10" s="72" t="s">
        <v>29</v>
      </c>
      <c r="O10" s="72" t="s">
        <v>29</v>
      </c>
      <c r="P10" s="60" t="s">
        <v>131</v>
      </c>
      <c r="Q10" s="60" t="s">
        <v>141</v>
      </c>
      <c r="R10" s="65"/>
      <c r="S10" s="65">
        <f>(AVERAGE(J10:K10))/60</f>
        <v>8.3333333333333329E-2</v>
      </c>
      <c r="T10" s="65">
        <f t="shared" si="5"/>
        <v>687.5</v>
      </c>
      <c r="U10" s="65"/>
      <c r="V10" s="65" t="e">
        <f t="shared" si="3"/>
        <v>#DIV/0!</v>
      </c>
      <c r="W10" s="65" t="e">
        <f t="shared" si="4"/>
        <v>#DIV/0!</v>
      </c>
      <c r="X10" s="65"/>
      <c r="Y10" s="65"/>
      <c r="Z10" s="65"/>
    </row>
    <row r="11" spans="1:26" s="66" customFormat="1" ht="14.25" customHeight="1">
      <c r="A11" s="60">
        <v>53</v>
      </c>
      <c r="B11" s="60" t="s">
        <v>68</v>
      </c>
      <c r="C11" s="74" t="s">
        <v>142</v>
      </c>
      <c r="D11" s="60" t="s">
        <v>134</v>
      </c>
      <c r="E11" s="60" t="s">
        <v>120</v>
      </c>
      <c r="F11" s="15">
        <v>50</v>
      </c>
      <c r="G11" s="60" t="s">
        <v>26</v>
      </c>
      <c r="H11" s="15">
        <v>50</v>
      </c>
      <c r="I11" s="15" t="s">
        <v>26</v>
      </c>
      <c r="J11" s="15">
        <v>120</v>
      </c>
      <c r="K11" s="15">
        <v>120</v>
      </c>
      <c r="L11" s="15">
        <v>50</v>
      </c>
      <c r="M11" s="15" t="s">
        <v>26</v>
      </c>
      <c r="N11" s="15">
        <v>120</v>
      </c>
      <c r="O11" s="15">
        <v>120</v>
      </c>
      <c r="P11" s="60" t="s">
        <v>131</v>
      </c>
      <c r="Q11" s="60" t="s">
        <v>143</v>
      </c>
      <c r="R11" s="65"/>
      <c r="S11" s="65">
        <f>(AVERAGE(J11:K11))</f>
        <v>120</v>
      </c>
      <c r="T11" s="65">
        <f t="shared" si="5"/>
        <v>6000</v>
      </c>
      <c r="U11" s="65"/>
      <c r="V11" s="65">
        <f t="shared" si="3"/>
        <v>120</v>
      </c>
      <c r="W11" s="65">
        <f t="shared" si="4"/>
        <v>6000</v>
      </c>
      <c r="X11" s="65"/>
      <c r="Y11" s="65"/>
      <c r="Z11" s="65"/>
    </row>
    <row r="12" spans="1:26" s="66" customFormat="1" ht="14.25" customHeight="1">
      <c r="A12" s="60">
        <v>53</v>
      </c>
      <c r="B12" s="60" t="s">
        <v>144</v>
      </c>
      <c r="C12" s="60" t="s">
        <v>145</v>
      </c>
      <c r="D12" s="60" t="s">
        <v>134</v>
      </c>
      <c r="E12" s="60" t="s">
        <v>120</v>
      </c>
      <c r="F12" s="73" t="s">
        <v>29</v>
      </c>
      <c r="G12" s="72" t="s">
        <v>29</v>
      </c>
      <c r="H12" s="73" t="s">
        <v>29</v>
      </c>
      <c r="I12" s="73" t="s">
        <v>29</v>
      </c>
      <c r="J12" s="73" t="s">
        <v>29</v>
      </c>
      <c r="K12" s="73" t="s">
        <v>29</v>
      </c>
      <c r="L12" s="15">
        <v>100</v>
      </c>
      <c r="M12" s="15" t="s">
        <v>146</v>
      </c>
      <c r="N12" s="15">
        <v>50</v>
      </c>
      <c r="O12" s="15">
        <v>50</v>
      </c>
      <c r="P12" s="72" t="s">
        <v>29</v>
      </c>
      <c r="Q12" s="60" t="s">
        <v>143</v>
      </c>
      <c r="R12" s="65"/>
      <c r="S12" s="65"/>
      <c r="T12" s="65"/>
      <c r="U12" s="65"/>
      <c r="V12" s="65">
        <f t="shared" si="3"/>
        <v>50</v>
      </c>
      <c r="W12" s="65">
        <f t="shared" si="4"/>
        <v>5000</v>
      </c>
      <c r="X12" s="65"/>
      <c r="Y12" s="65"/>
      <c r="Z12" s="65"/>
    </row>
    <row r="13" spans="1:26" s="66" customFormat="1" ht="13.8" customHeight="1">
      <c r="A13" s="60">
        <v>53</v>
      </c>
      <c r="B13" s="60" t="s">
        <v>147</v>
      </c>
      <c r="C13" s="60" t="s">
        <v>145</v>
      </c>
      <c r="D13" s="60" t="s">
        <v>134</v>
      </c>
      <c r="E13" s="60" t="s">
        <v>120</v>
      </c>
      <c r="F13" s="73" t="s">
        <v>29</v>
      </c>
      <c r="G13" s="72" t="s">
        <v>29</v>
      </c>
      <c r="H13" s="73" t="s">
        <v>29</v>
      </c>
      <c r="I13" s="73" t="s">
        <v>29</v>
      </c>
      <c r="J13" s="73" t="s">
        <v>29</v>
      </c>
      <c r="K13" s="73" t="s">
        <v>29</v>
      </c>
      <c r="L13" s="15">
        <v>35</v>
      </c>
      <c r="M13" s="15" t="s">
        <v>146</v>
      </c>
      <c r="N13" s="15">
        <v>100</v>
      </c>
      <c r="O13" s="15">
        <v>100</v>
      </c>
      <c r="P13" s="72" t="s">
        <v>29</v>
      </c>
      <c r="Q13" s="60" t="s">
        <v>143</v>
      </c>
      <c r="R13" s="65"/>
      <c r="S13" s="65"/>
      <c r="T13" s="65"/>
      <c r="U13" s="65"/>
      <c r="V13" s="65">
        <f t="shared" si="3"/>
        <v>100</v>
      </c>
      <c r="W13" s="65">
        <f t="shared" si="4"/>
        <v>3500</v>
      </c>
      <c r="X13" s="65"/>
      <c r="Y13" s="65"/>
      <c r="Z13" s="65"/>
    </row>
    <row r="14" spans="1:26" s="66" customFormat="1" ht="14.25" customHeight="1">
      <c r="A14" s="62">
        <v>54</v>
      </c>
      <c r="B14" s="62" t="s">
        <v>70</v>
      </c>
      <c r="C14" s="61" t="s">
        <v>148</v>
      </c>
      <c r="D14" s="62" t="s">
        <v>134</v>
      </c>
      <c r="E14" s="62" t="s">
        <v>125</v>
      </c>
      <c r="F14" s="75">
        <f>100*60</f>
        <v>6000</v>
      </c>
      <c r="G14" s="62" t="s">
        <v>26</v>
      </c>
      <c r="H14" s="75">
        <f>100*60</f>
        <v>6000</v>
      </c>
      <c r="I14" s="75" t="s">
        <v>26</v>
      </c>
      <c r="J14" s="76">
        <f>250/60</f>
        <v>4.166666666666667</v>
      </c>
      <c r="K14" s="76">
        <f>320/60</f>
        <v>5.333333333333333</v>
      </c>
      <c r="L14" s="62" t="s">
        <v>29</v>
      </c>
      <c r="M14" s="62" t="s">
        <v>29</v>
      </c>
      <c r="N14" s="62" t="s">
        <v>29</v>
      </c>
      <c r="O14" s="62" t="s">
        <v>29</v>
      </c>
      <c r="P14" s="62" t="s">
        <v>29</v>
      </c>
      <c r="Q14" s="61" t="s">
        <v>149</v>
      </c>
      <c r="R14" s="65"/>
      <c r="S14" s="65">
        <f>(AVERAGE(J14:K14))/60</f>
        <v>7.9166666666666663E-2</v>
      </c>
      <c r="T14" s="65">
        <f t="shared" ref="T14:T45" si="6">S14*H14</f>
        <v>475</v>
      </c>
      <c r="U14" s="65"/>
      <c r="V14" s="65" t="e">
        <f t="shared" si="3"/>
        <v>#DIV/0!</v>
      </c>
      <c r="W14" s="65" t="e">
        <f t="shared" si="4"/>
        <v>#DIV/0!</v>
      </c>
      <c r="X14" s="65"/>
      <c r="Y14" s="65"/>
      <c r="Z14" s="65"/>
    </row>
    <row r="15" spans="1:26" s="66" customFormat="1" ht="14.25" customHeight="1">
      <c r="A15" s="62">
        <v>54</v>
      </c>
      <c r="B15" s="62" t="s">
        <v>68</v>
      </c>
      <c r="C15" s="61" t="s">
        <v>148</v>
      </c>
      <c r="D15" s="62" t="s">
        <v>134</v>
      </c>
      <c r="E15" s="62" t="s">
        <v>125</v>
      </c>
      <c r="F15" s="75">
        <v>500</v>
      </c>
      <c r="G15" s="62" t="s">
        <v>26</v>
      </c>
      <c r="H15" s="75">
        <v>500</v>
      </c>
      <c r="I15" s="75" t="s">
        <v>26</v>
      </c>
      <c r="J15" s="75">
        <v>35</v>
      </c>
      <c r="K15" s="75">
        <v>80</v>
      </c>
      <c r="L15" s="62" t="s">
        <v>29</v>
      </c>
      <c r="M15" s="62" t="s">
        <v>29</v>
      </c>
      <c r="N15" s="62">
        <v>35</v>
      </c>
      <c r="O15" s="62">
        <v>80</v>
      </c>
      <c r="P15" s="62" t="s">
        <v>29</v>
      </c>
      <c r="Q15" s="61" t="s">
        <v>150</v>
      </c>
      <c r="R15" s="65"/>
      <c r="S15" s="65">
        <f>(AVERAGE(J15:K15))</f>
        <v>57.5</v>
      </c>
      <c r="T15" s="65">
        <f t="shared" si="6"/>
        <v>28750</v>
      </c>
      <c r="U15" s="65"/>
      <c r="V15" s="65">
        <f t="shared" si="3"/>
        <v>57.5</v>
      </c>
      <c r="W15" s="65" t="e">
        <f t="shared" si="4"/>
        <v>#VALUE!</v>
      </c>
      <c r="X15" s="65"/>
      <c r="Y15" s="65"/>
      <c r="Z15" s="65"/>
    </row>
    <row r="16" spans="1:26" s="66" customFormat="1" ht="14.25" customHeight="1">
      <c r="A16" s="62">
        <v>55</v>
      </c>
      <c r="B16" s="62" t="s">
        <v>70</v>
      </c>
      <c r="C16" s="61" t="s">
        <v>151</v>
      </c>
      <c r="D16" s="62" t="s">
        <v>134</v>
      </c>
      <c r="E16" s="62" t="s">
        <v>29</v>
      </c>
      <c r="F16" s="62" t="s">
        <v>29</v>
      </c>
      <c r="G16" s="62" t="s">
        <v>29</v>
      </c>
      <c r="H16" s="75">
        <f>130*60</f>
        <v>7800</v>
      </c>
      <c r="I16" s="75" t="s">
        <v>26</v>
      </c>
      <c r="J16" s="75">
        <f t="shared" ref="J16:J28" si="7">210/60</f>
        <v>3.5</v>
      </c>
      <c r="K16" s="75">
        <f t="shared" ref="K16:K27" si="8">300/60</f>
        <v>5</v>
      </c>
      <c r="L16" s="62" t="s">
        <v>29</v>
      </c>
      <c r="M16" s="62" t="s">
        <v>29</v>
      </c>
      <c r="N16" s="62" t="s">
        <v>29</v>
      </c>
      <c r="O16" s="62" t="s">
        <v>29</v>
      </c>
      <c r="P16" s="62" t="s">
        <v>152</v>
      </c>
      <c r="Q16" s="61" t="s">
        <v>153</v>
      </c>
      <c r="R16" s="65"/>
      <c r="S16" s="65">
        <f t="shared" ref="S16:S28" si="9">(AVERAGE(J16:K16))/60</f>
        <v>7.0833333333333331E-2</v>
      </c>
      <c r="T16" s="65">
        <f t="shared" si="6"/>
        <v>552.5</v>
      </c>
      <c r="U16" s="65"/>
      <c r="V16" s="65" t="e">
        <f t="shared" si="3"/>
        <v>#DIV/0!</v>
      </c>
      <c r="W16" s="65" t="e">
        <f t="shared" si="4"/>
        <v>#DIV/0!</v>
      </c>
      <c r="X16" s="65"/>
      <c r="Y16" s="65"/>
      <c r="Z16" s="65"/>
    </row>
    <row r="17" spans="1:26" s="66" customFormat="1" ht="30.75" customHeight="1">
      <c r="A17" s="62">
        <v>55</v>
      </c>
      <c r="B17" s="62" t="s">
        <v>70</v>
      </c>
      <c r="C17" s="61" t="s">
        <v>154</v>
      </c>
      <c r="D17" s="62" t="s">
        <v>134</v>
      </c>
      <c r="E17" s="62" t="s">
        <v>29</v>
      </c>
      <c r="F17" s="62" t="s">
        <v>29</v>
      </c>
      <c r="G17" s="62" t="s">
        <v>29</v>
      </c>
      <c r="H17" s="75">
        <f t="shared" ref="H17" si="10">80*60</f>
        <v>4800</v>
      </c>
      <c r="I17" s="75" t="s">
        <v>26</v>
      </c>
      <c r="J17" s="75">
        <f t="shared" si="7"/>
        <v>3.5</v>
      </c>
      <c r="K17" s="75">
        <f t="shared" si="8"/>
        <v>5</v>
      </c>
      <c r="L17" s="62" t="s">
        <v>29</v>
      </c>
      <c r="M17" s="62" t="s">
        <v>29</v>
      </c>
      <c r="N17" s="62" t="s">
        <v>29</v>
      </c>
      <c r="O17" s="62" t="s">
        <v>29</v>
      </c>
      <c r="P17" s="62" t="s">
        <v>155</v>
      </c>
      <c r="Q17" s="61" t="s">
        <v>156</v>
      </c>
      <c r="R17" s="65"/>
      <c r="S17" s="65">
        <f t="shared" si="9"/>
        <v>7.0833333333333331E-2</v>
      </c>
      <c r="T17" s="65">
        <f t="shared" si="6"/>
        <v>340</v>
      </c>
      <c r="U17" s="65"/>
      <c r="V17" s="65" t="e">
        <f t="shared" si="3"/>
        <v>#DIV/0!</v>
      </c>
      <c r="W17" s="65" t="e">
        <f t="shared" si="4"/>
        <v>#DIV/0!</v>
      </c>
      <c r="X17" s="65"/>
      <c r="Y17" s="65"/>
      <c r="Z17" s="65"/>
    </row>
    <row r="18" spans="1:26" s="66" customFormat="1" ht="14.25" customHeight="1">
      <c r="A18" s="62">
        <v>55</v>
      </c>
      <c r="B18" s="62" t="s">
        <v>70</v>
      </c>
      <c r="C18" s="61" t="s">
        <v>157</v>
      </c>
      <c r="D18" s="62" t="s">
        <v>28</v>
      </c>
      <c r="E18" s="62" t="s">
        <v>29</v>
      </c>
      <c r="F18" s="62" t="s">
        <v>29</v>
      </c>
      <c r="G18" s="62" t="s">
        <v>29</v>
      </c>
      <c r="H18" s="75">
        <f>80*60</f>
        <v>4800</v>
      </c>
      <c r="I18" s="75" t="s">
        <v>26</v>
      </c>
      <c r="J18" s="75">
        <f t="shared" si="7"/>
        <v>3.5</v>
      </c>
      <c r="K18" s="75">
        <f t="shared" si="8"/>
        <v>5</v>
      </c>
      <c r="L18" s="62" t="s">
        <v>29</v>
      </c>
      <c r="M18" s="62" t="s">
        <v>29</v>
      </c>
      <c r="N18" s="62" t="s">
        <v>29</v>
      </c>
      <c r="O18" s="62" t="s">
        <v>29</v>
      </c>
      <c r="P18" s="62" t="s">
        <v>155</v>
      </c>
      <c r="Q18" s="61" t="s">
        <v>158</v>
      </c>
      <c r="R18" s="65"/>
      <c r="S18" s="65">
        <f t="shared" si="9"/>
        <v>7.0833333333333331E-2</v>
      </c>
      <c r="T18" s="65">
        <f t="shared" si="6"/>
        <v>340</v>
      </c>
      <c r="U18" s="65"/>
      <c r="V18" s="65" t="e">
        <f t="shared" si="3"/>
        <v>#DIV/0!</v>
      </c>
      <c r="W18" s="65" t="e">
        <f t="shared" si="4"/>
        <v>#DIV/0!</v>
      </c>
      <c r="X18" s="65"/>
      <c r="Y18" s="65"/>
      <c r="Z18" s="65"/>
    </row>
    <row r="19" spans="1:26" s="66" customFormat="1" ht="14.25" customHeight="1">
      <c r="A19" s="62">
        <v>55</v>
      </c>
      <c r="B19" s="62" t="s">
        <v>70</v>
      </c>
      <c r="C19" s="61" t="s">
        <v>159</v>
      </c>
      <c r="D19" s="62" t="s">
        <v>28</v>
      </c>
      <c r="E19" s="62" t="s">
        <v>29</v>
      </c>
      <c r="F19" s="62" t="s">
        <v>29</v>
      </c>
      <c r="G19" s="62" t="s">
        <v>29</v>
      </c>
      <c r="H19" s="75">
        <f>60*60</f>
        <v>3600</v>
      </c>
      <c r="I19" s="75" t="s">
        <v>26</v>
      </c>
      <c r="J19" s="75">
        <f t="shared" si="7"/>
        <v>3.5</v>
      </c>
      <c r="K19" s="75">
        <f t="shared" si="8"/>
        <v>5</v>
      </c>
      <c r="L19" s="62" t="s">
        <v>29</v>
      </c>
      <c r="M19" s="62" t="s">
        <v>29</v>
      </c>
      <c r="N19" s="62" t="s">
        <v>29</v>
      </c>
      <c r="O19" s="62" t="s">
        <v>29</v>
      </c>
      <c r="P19" s="62" t="s">
        <v>155</v>
      </c>
      <c r="Q19" s="61" t="s">
        <v>160</v>
      </c>
      <c r="R19" s="65"/>
      <c r="S19" s="65">
        <f t="shared" si="9"/>
        <v>7.0833333333333331E-2</v>
      </c>
      <c r="T19" s="65">
        <f t="shared" si="6"/>
        <v>255</v>
      </c>
      <c r="U19" s="65"/>
      <c r="V19" s="65" t="e">
        <f t="shared" si="3"/>
        <v>#DIV/0!</v>
      </c>
      <c r="W19" s="65" t="e">
        <f t="shared" si="4"/>
        <v>#DIV/0!</v>
      </c>
      <c r="X19" s="65"/>
      <c r="Y19" s="65"/>
      <c r="Z19" s="65"/>
    </row>
    <row r="20" spans="1:26" s="66" customFormat="1" ht="14.25" customHeight="1">
      <c r="A20" s="62">
        <v>55</v>
      </c>
      <c r="B20" s="62" t="s">
        <v>70</v>
      </c>
      <c r="C20" s="61" t="s">
        <v>161</v>
      </c>
      <c r="D20" s="62" t="s">
        <v>28</v>
      </c>
      <c r="E20" s="62" t="s">
        <v>29</v>
      </c>
      <c r="F20" s="62" t="s">
        <v>29</v>
      </c>
      <c r="G20" s="62" t="s">
        <v>29</v>
      </c>
      <c r="H20" s="75">
        <f>55*60</f>
        <v>3300</v>
      </c>
      <c r="I20" s="75" t="s">
        <v>26</v>
      </c>
      <c r="J20" s="75">
        <f t="shared" si="7"/>
        <v>3.5</v>
      </c>
      <c r="K20" s="75">
        <f t="shared" si="8"/>
        <v>5</v>
      </c>
      <c r="L20" s="62" t="s">
        <v>29</v>
      </c>
      <c r="M20" s="62" t="s">
        <v>29</v>
      </c>
      <c r="N20" s="62" t="s">
        <v>29</v>
      </c>
      <c r="O20" s="62" t="s">
        <v>29</v>
      </c>
      <c r="P20" s="62" t="s">
        <v>152</v>
      </c>
      <c r="Q20" s="61" t="s">
        <v>162</v>
      </c>
      <c r="R20" s="65"/>
      <c r="S20" s="65">
        <f t="shared" si="9"/>
        <v>7.0833333333333331E-2</v>
      </c>
      <c r="T20" s="65">
        <f t="shared" si="6"/>
        <v>233.75</v>
      </c>
      <c r="U20" s="65"/>
      <c r="V20" s="65" t="e">
        <f t="shared" si="3"/>
        <v>#DIV/0!</v>
      </c>
      <c r="W20" s="65" t="e">
        <f t="shared" si="4"/>
        <v>#DIV/0!</v>
      </c>
      <c r="X20" s="65"/>
      <c r="Y20" s="65"/>
      <c r="Z20" s="65"/>
    </row>
    <row r="21" spans="1:26" s="66" customFormat="1" ht="14.25" customHeight="1">
      <c r="A21" s="62">
        <v>55</v>
      </c>
      <c r="B21" s="62" t="s">
        <v>70</v>
      </c>
      <c r="C21" s="61" t="s">
        <v>163</v>
      </c>
      <c r="D21" s="62" t="s">
        <v>28</v>
      </c>
      <c r="E21" s="62" t="s">
        <v>164</v>
      </c>
      <c r="F21" s="62" t="s">
        <v>29</v>
      </c>
      <c r="G21" s="62" t="s">
        <v>29</v>
      </c>
      <c r="H21" s="75">
        <f>1300*60</f>
        <v>78000</v>
      </c>
      <c r="I21" s="75" t="s">
        <v>26</v>
      </c>
      <c r="J21" s="75">
        <f t="shared" si="7"/>
        <v>3.5</v>
      </c>
      <c r="K21" s="75">
        <f t="shared" si="8"/>
        <v>5</v>
      </c>
      <c r="L21" s="62" t="s">
        <v>29</v>
      </c>
      <c r="M21" s="62" t="s">
        <v>29</v>
      </c>
      <c r="N21" s="62" t="s">
        <v>29</v>
      </c>
      <c r="O21" s="62" t="s">
        <v>29</v>
      </c>
      <c r="P21" s="62" t="s">
        <v>165</v>
      </c>
      <c r="Q21" s="61" t="s">
        <v>166</v>
      </c>
      <c r="R21" s="65"/>
      <c r="S21" s="65">
        <f t="shared" si="9"/>
        <v>7.0833333333333331E-2</v>
      </c>
      <c r="T21" s="65">
        <f t="shared" si="6"/>
        <v>5525</v>
      </c>
      <c r="U21" s="65"/>
      <c r="V21" s="65" t="e">
        <f t="shared" si="3"/>
        <v>#DIV/0!</v>
      </c>
      <c r="W21" s="65" t="e">
        <f t="shared" si="4"/>
        <v>#DIV/0!</v>
      </c>
      <c r="X21" s="65"/>
      <c r="Y21" s="65"/>
      <c r="Z21" s="65"/>
    </row>
    <row r="22" spans="1:26" s="66" customFormat="1" ht="14.25" customHeight="1">
      <c r="A22" s="62">
        <v>55</v>
      </c>
      <c r="B22" s="62" t="s">
        <v>70</v>
      </c>
      <c r="C22" s="61" t="s">
        <v>167</v>
      </c>
      <c r="D22" s="62" t="s">
        <v>28</v>
      </c>
      <c r="E22" s="62" t="s">
        <v>164</v>
      </c>
      <c r="F22" s="62" t="s">
        <v>29</v>
      </c>
      <c r="G22" s="62" t="s">
        <v>29</v>
      </c>
      <c r="H22" s="75">
        <v>63000</v>
      </c>
      <c r="I22" s="75" t="s">
        <v>26</v>
      </c>
      <c r="J22" s="75">
        <f>210/60</f>
        <v>3.5</v>
      </c>
      <c r="K22" s="75">
        <f t="shared" si="8"/>
        <v>5</v>
      </c>
      <c r="L22" s="62" t="s">
        <v>29</v>
      </c>
      <c r="M22" s="62" t="s">
        <v>29</v>
      </c>
      <c r="N22" s="62" t="s">
        <v>29</v>
      </c>
      <c r="O22" s="62" t="s">
        <v>29</v>
      </c>
      <c r="P22" s="62" t="s">
        <v>165</v>
      </c>
      <c r="Q22" s="61" t="s">
        <v>168</v>
      </c>
      <c r="R22" s="65"/>
      <c r="S22" s="65">
        <f t="shared" si="9"/>
        <v>7.0833333333333331E-2</v>
      </c>
      <c r="T22" s="65">
        <f t="shared" si="6"/>
        <v>4462.5</v>
      </c>
      <c r="U22" s="65"/>
      <c r="V22" s="65" t="e">
        <f t="shared" si="3"/>
        <v>#DIV/0!</v>
      </c>
      <c r="W22" s="65" t="e">
        <f t="shared" si="4"/>
        <v>#DIV/0!</v>
      </c>
      <c r="X22" s="65"/>
      <c r="Y22" s="65"/>
      <c r="Z22" s="65"/>
    </row>
    <row r="23" spans="1:26" s="66" customFormat="1" ht="14.25" customHeight="1">
      <c r="A23" s="62">
        <v>55</v>
      </c>
      <c r="B23" s="62" t="s">
        <v>70</v>
      </c>
      <c r="C23" s="61" t="s">
        <v>169</v>
      </c>
      <c r="D23" s="62" t="s">
        <v>134</v>
      </c>
      <c r="E23" s="62" t="s">
        <v>164</v>
      </c>
      <c r="F23" s="62" t="s">
        <v>29</v>
      </c>
      <c r="G23" s="62" t="s">
        <v>29</v>
      </c>
      <c r="H23" s="75">
        <f>500*60</f>
        <v>30000</v>
      </c>
      <c r="I23" s="75" t="s">
        <v>26</v>
      </c>
      <c r="J23" s="75">
        <f t="shared" si="7"/>
        <v>3.5</v>
      </c>
      <c r="K23" s="75">
        <f t="shared" si="8"/>
        <v>5</v>
      </c>
      <c r="L23" s="62" t="s">
        <v>29</v>
      </c>
      <c r="M23" s="62" t="s">
        <v>29</v>
      </c>
      <c r="N23" s="62" t="s">
        <v>29</v>
      </c>
      <c r="O23" s="62" t="s">
        <v>29</v>
      </c>
      <c r="P23" s="62" t="s">
        <v>170</v>
      </c>
      <c r="Q23" s="61" t="s">
        <v>171</v>
      </c>
      <c r="R23" s="65"/>
      <c r="S23" s="65">
        <f t="shared" si="9"/>
        <v>7.0833333333333331E-2</v>
      </c>
      <c r="T23" s="65">
        <f t="shared" si="6"/>
        <v>2125</v>
      </c>
      <c r="U23" s="65"/>
      <c r="V23" s="65" t="e">
        <f t="shared" si="3"/>
        <v>#DIV/0!</v>
      </c>
      <c r="W23" s="65" t="e">
        <f t="shared" si="4"/>
        <v>#DIV/0!</v>
      </c>
      <c r="X23" s="65"/>
      <c r="Y23" s="65"/>
      <c r="Z23" s="65"/>
    </row>
    <row r="24" spans="1:26" s="66" customFormat="1" ht="24" customHeight="1">
      <c r="A24" s="62">
        <v>55</v>
      </c>
      <c r="B24" s="62" t="s">
        <v>70</v>
      </c>
      <c r="C24" s="61" t="s">
        <v>172</v>
      </c>
      <c r="D24" s="62" t="s">
        <v>28</v>
      </c>
      <c r="E24" s="62" t="s">
        <v>173</v>
      </c>
      <c r="F24" s="62" t="s">
        <v>29</v>
      </c>
      <c r="G24" s="62" t="s">
        <v>29</v>
      </c>
      <c r="H24" s="75">
        <f>350*60</f>
        <v>21000</v>
      </c>
      <c r="I24" s="75" t="s">
        <v>26</v>
      </c>
      <c r="J24" s="75">
        <f t="shared" si="7"/>
        <v>3.5</v>
      </c>
      <c r="K24" s="75">
        <f>300/60</f>
        <v>5</v>
      </c>
      <c r="L24" s="62" t="s">
        <v>29</v>
      </c>
      <c r="M24" s="62" t="s">
        <v>29</v>
      </c>
      <c r="N24" s="62" t="s">
        <v>29</v>
      </c>
      <c r="O24" s="62" t="s">
        <v>29</v>
      </c>
      <c r="P24" s="62" t="s">
        <v>152</v>
      </c>
      <c r="Q24" s="61" t="s">
        <v>174</v>
      </c>
      <c r="R24" s="65"/>
      <c r="S24" s="65">
        <f t="shared" si="9"/>
        <v>7.0833333333333331E-2</v>
      </c>
      <c r="T24" s="65">
        <f t="shared" si="6"/>
        <v>1487.5</v>
      </c>
      <c r="U24" s="65"/>
      <c r="V24" s="65" t="e">
        <f t="shared" si="3"/>
        <v>#DIV/0!</v>
      </c>
      <c r="W24" s="65" t="e">
        <f t="shared" si="4"/>
        <v>#DIV/0!</v>
      </c>
      <c r="X24" s="65"/>
      <c r="Y24" s="65"/>
      <c r="Z24" s="65"/>
    </row>
    <row r="25" spans="1:26" s="66" customFormat="1" ht="14.25" customHeight="1">
      <c r="A25" s="62">
        <v>55</v>
      </c>
      <c r="B25" s="62" t="s">
        <v>70</v>
      </c>
      <c r="C25" s="61" t="s">
        <v>175</v>
      </c>
      <c r="D25" s="62" t="s">
        <v>28</v>
      </c>
      <c r="E25" s="62" t="s">
        <v>29</v>
      </c>
      <c r="F25" s="62" t="s">
        <v>29</v>
      </c>
      <c r="G25" s="62" t="s">
        <v>29</v>
      </c>
      <c r="H25" s="75">
        <f>300*60</f>
        <v>18000</v>
      </c>
      <c r="I25" s="75" t="s">
        <v>26</v>
      </c>
      <c r="J25" s="75">
        <f t="shared" si="7"/>
        <v>3.5</v>
      </c>
      <c r="K25" s="75">
        <f t="shared" si="8"/>
        <v>5</v>
      </c>
      <c r="L25" s="62" t="s">
        <v>29</v>
      </c>
      <c r="M25" s="62" t="s">
        <v>29</v>
      </c>
      <c r="N25" s="62" t="s">
        <v>29</v>
      </c>
      <c r="O25" s="62" t="s">
        <v>29</v>
      </c>
      <c r="P25" s="62" t="s">
        <v>152</v>
      </c>
      <c r="Q25" s="61" t="s">
        <v>176</v>
      </c>
      <c r="R25" s="65"/>
      <c r="S25" s="65">
        <f t="shared" si="9"/>
        <v>7.0833333333333331E-2</v>
      </c>
      <c r="T25" s="65">
        <f t="shared" si="6"/>
        <v>1275</v>
      </c>
      <c r="U25" s="65"/>
      <c r="V25" s="65" t="e">
        <f t="shared" si="3"/>
        <v>#DIV/0!</v>
      </c>
      <c r="W25" s="65" t="e">
        <f t="shared" si="4"/>
        <v>#DIV/0!</v>
      </c>
      <c r="X25" s="65"/>
      <c r="Y25" s="65"/>
      <c r="Z25" s="65"/>
    </row>
    <row r="26" spans="1:26" s="66" customFormat="1" ht="14.25" customHeight="1">
      <c r="A26" s="62">
        <v>55</v>
      </c>
      <c r="B26" s="62" t="s">
        <v>70</v>
      </c>
      <c r="C26" s="61" t="s">
        <v>177</v>
      </c>
      <c r="D26" s="62" t="s">
        <v>28</v>
      </c>
      <c r="E26" s="62" t="s">
        <v>29</v>
      </c>
      <c r="F26" s="75">
        <f>50*60</f>
        <v>3000</v>
      </c>
      <c r="G26" s="62" t="s">
        <v>26</v>
      </c>
      <c r="H26" s="75">
        <f>90*60</f>
        <v>5400</v>
      </c>
      <c r="I26" s="75" t="s">
        <v>26</v>
      </c>
      <c r="J26" s="75">
        <f t="shared" si="7"/>
        <v>3.5</v>
      </c>
      <c r="K26" s="75">
        <f t="shared" si="8"/>
        <v>5</v>
      </c>
      <c r="L26" s="62" t="s">
        <v>29</v>
      </c>
      <c r="M26" s="62" t="s">
        <v>29</v>
      </c>
      <c r="N26" s="62" t="s">
        <v>29</v>
      </c>
      <c r="O26" s="62" t="s">
        <v>29</v>
      </c>
      <c r="P26" s="62" t="s">
        <v>178</v>
      </c>
      <c r="Q26" s="61" t="s">
        <v>179</v>
      </c>
      <c r="R26" s="65"/>
      <c r="S26" s="65">
        <f t="shared" si="9"/>
        <v>7.0833333333333331E-2</v>
      </c>
      <c r="T26" s="65">
        <f t="shared" si="6"/>
        <v>382.5</v>
      </c>
      <c r="U26" s="65"/>
      <c r="V26" s="65" t="e">
        <f t="shared" si="3"/>
        <v>#DIV/0!</v>
      </c>
      <c r="W26" s="65" t="e">
        <f t="shared" si="4"/>
        <v>#DIV/0!</v>
      </c>
      <c r="X26" s="65"/>
      <c r="Y26" s="65"/>
      <c r="Z26" s="65"/>
    </row>
    <row r="27" spans="1:26" s="66" customFormat="1" ht="14.25" customHeight="1">
      <c r="A27" s="62">
        <v>55</v>
      </c>
      <c r="B27" s="62" t="s">
        <v>70</v>
      </c>
      <c r="C27" s="61" t="s">
        <v>180</v>
      </c>
      <c r="D27" s="62" t="s">
        <v>28</v>
      </c>
      <c r="E27" s="62" t="s">
        <v>29</v>
      </c>
      <c r="F27" s="62" t="s">
        <v>29</v>
      </c>
      <c r="G27" s="62" t="s">
        <v>29</v>
      </c>
      <c r="H27" s="75">
        <v>14700</v>
      </c>
      <c r="I27" s="75" t="s">
        <v>26</v>
      </c>
      <c r="J27" s="75">
        <f t="shared" si="7"/>
        <v>3.5</v>
      </c>
      <c r="K27" s="75">
        <f t="shared" si="8"/>
        <v>5</v>
      </c>
      <c r="L27" s="62" t="s">
        <v>29</v>
      </c>
      <c r="M27" s="62" t="s">
        <v>29</v>
      </c>
      <c r="N27" s="62" t="s">
        <v>29</v>
      </c>
      <c r="O27" s="62" t="s">
        <v>29</v>
      </c>
      <c r="P27" s="62" t="s">
        <v>152</v>
      </c>
      <c r="Q27" s="61" t="s">
        <v>181</v>
      </c>
      <c r="R27" s="65"/>
      <c r="S27" s="65">
        <f t="shared" si="9"/>
        <v>7.0833333333333331E-2</v>
      </c>
      <c r="T27" s="65">
        <f t="shared" si="6"/>
        <v>1041.25</v>
      </c>
      <c r="U27" s="65"/>
      <c r="V27" s="65" t="e">
        <f t="shared" si="3"/>
        <v>#DIV/0!</v>
      </c>
      <c r="W27" s="65" t="e">
        <f t="shared" si="4"/>
        <v>#DIV/0!</v>
      </c>
      <c r="X27" s="65"/>
      <c r="Y27" s="65"/>
      <c r="Z27" s="65"/>
    </row>
    <row r="28" spans="1:26" s="66" customFormat="1" ht="14.25" customHeight="1">
      <c r="A28" s="62">
        <v>55</v>
      </c>
      <c r="B28" s="62" t="s">
        <v>70</v>
      </c>
      <c r="C28" s="62" t="s">
        <v>182</v>
      </c>
      <c r="D28" s="62" t="s">
        <v>28</v>
      </c>
      <c r="E28" s="62" t="s">
        <v>29</v>
      </c>
      <c r="F28" s="62" t="s">
        <v>29</v>
      </c>
      <c r="G28" s="62" t="s">
        <v>29</v>
      </c>
      <c r="H28" s="75">
        <v>9000</v>
      </c>
      <c r="I28" s="75" t="s">
        <v>26</v>
      </c>
      <c r="J28" s="75">
        <f t="shared" si="7"/>
        <v>3.5</v>
      </c>
      <c r="K28" s="75">
        <f>300/60</f>
        <v>5</v>
      </c>
      <c r="L28" s="62" t="s">
        <v>29</v>
      </c>
      <c r="M28" s="62" t="s">
        <v>29</v>
      </c>
      <c r="N28" s="62" t="s">
        <v>29</v>
      </c>
      <c r="O28" s="62" t="s">
        <v>29</v>
      </c>
      <c r="P28" s="62" t="s">
        <v>152</v>
      </c>
      <c r="Q28" s="62" t="s">
        <v>183</v>
      </c>
      <c r="R28" s="65"/>
      <c r="S28" s="65">
        <f t="shared" si="9"/>
        <v>7.0833333333333331E-2</v>
      </c>
      <c r="T28" s="65">
        <f t="shared" si="6"/>
        <v>637.5</v>
      </c>
      <c r="U28" s="65"/>
      <c r="V28" s="65" t="e">
        <f t="shared" si="3"/>
        <v>#DIV/0!</v>
      </c>
      <c r="W28" s="65" t="e">
        <f t="shared" si="4"/>
        <v>#DIV/0!</v>
      </c>
      <c r="X28" s="65"/>
      <c r="Y28" s="65"/>
      <c r="Z28" s="65"/>
    </row>
    <row r="29" spans="1:26" s="66" customFormat="1" ht="32.25" customHeight="1">
      <c r="A29" s="62">
        <v>55</v>
      </c>
      <c r="B29" s="62" t="s">
        <v>94</v>
      </c>
      <c r="C29" s="61" t="s">
        <v>172</v>
      </c>
      <c r="D29" s="62" t="s">
        <v>28</v>
      </c>
      <c r="E29" s="62" t="s">
        <v>29</v>
      </c>
      <c r="F29" s="62" t="s">
        <v>29</v>
      </c>
      <c r="G29" s="62" t="s">
        <v>29</v>
      </c>
      <c r="H29" s="75">
        <f>4*1000</f>
        <v>4000</v>
      </c>
      <c r="I29" s="75" t="s">
        <v>26</v>
      </c>
      <c r="J29" s="75">
        <v>90</v>
      </c>
      <c r="K29" s="75">
        <v>150</v>
      </c>
      <c r="L29" s="62" t="s">
        <v>29</v>
      </c>
      <c r="M29" s="62" t="s">
        <v>29</v>
      </c>
      <c r="N29" s="62" t="s">
        <v>29</v>
      </c>
      <c r="O29" s="62" t="s">
        <v>29</v>
      </c>
      <c r="P29" s="61" t="s">
        <v>184</v>
      </c>
      <c r="Q29" s="62" t="s">
        <v>185</v>
      </c>
      <c r="R29" s="65"/>
      <c r="S29" s="65">
        <f t="shared" ref="S29:S68" si="11">(AVERAGE(J29:K29))</f>
        <v>120</v>
      </c>
      <c r="T29" s="65">
        <f t="shared" si="6"/>
        <v>480000</v>
      </c>
      <c r="U29" s="65"/>
      <c r="V29" s="65" t="e">
        <f t="shared" si="3"/>
        <v>#DIV/0!</v>
      </c>
      <c r="W29" s="65" t="e">
        <f t="shared" si="4"/>
        <v>#DIV/0!</v>
      </c>
      <c r="X29" s="65"/>
      <c r="Y29" s="65"/>
      <c r="Z29" s="65"/>
    </row>
    <row r="30" spans="1:26" s="66" customFormat="1" ht="14.25" customHeight="1">
      <c r="A30" s="62">
        <v>55</v>
      </c>
      <c r="B30" s="62" t="s">
        <v>94</v>
      </c>
      <c r="C30" s="62" t="s">
        <v>186</v>
      </c>
      <c r="D30" s="62" t="s">
        <v>28</v>
      </c>
      <c r="E30" s="62" t="s">
        <v>29</v>
      </c>
      <c r="F30" s="62" t="s">
        <v>29</v>
      </c>
      <c r="G30" s="62" t="s">
        <v>29</v>
      </c>
      <c r="H30" s="75">
        <f>7*1000</f>
        <v>7000</v>
      </c>
      <c r="I30" s="75" t="s">
        <v>26</v>
      </c>
      <c r="J30" s="75">
        <v>90</v>
      </c>
      <c r="K30" s="75">
        <v>150</v>
      </c>
      <c r="L30" s="62" t="s">
        <v>29</v>
      </c>
      <c r="M30" s="62" t="s">
        <v>29</v>
      </c>
      <c r="N30" s="62" t="s">
        <v>29</v>
      </c>
      <c r="O30" s="62" t="s">
        <v>29</v>
      </c>
      <c r="P30" s="62" t="s">
        <v>155</v>
      </c>
      <c r="Q30" s="62" t="s">
        <v>166</v>
      </c>
      <c r="R30" s="65"/>
      <c r="S30" s="65">
        <f t="shared" si="11"/>
        <v>120</v>
      </c>
      <c r="T30" s="65">
        <f t="shared" si="6"/>
        <v>840000</v>
      </c>
      <c r="U30" s="65"/>
      <c r="V30" s="65" t="e">
        <f t="shared" si="3"/>
        <v>#DIV/0!</v>
      </c>
      <c r="W30" s="65" t="e">
        <f t="shared" si="4"/>
        <v>#DIV/0!</v>
      </c>
      <c r="X30" s="65"/>
      <c r="Y30" s="65"/>
      <c r="Z30" s="65"/>
    </row>
    <row r="31" spans="1:26" s="66" customFormat="1" ht="14.25" customHeight="1">
      <c r="A31" s="62">
        <v>55</v>
      </c>
      <c r="B31" s="62" t="s">
        <v>94</v>
      </c>
      <c r="C31" s="62" t="s">
        <v>187</v>
      </c>
      <c r="D31" s="62" t="s">
        <v>28</v>
      </c>
      <c r="E31" s="62" t="s">
        <v>29</v>
      </c>
      <c r="F31" s="62" t="s">
        <v>29</v>
      </c>
      <c r="G31" s="62" t="s">
        <v>29</v>
      </c>
      <c r="H31" s="75">
        <v>3500</v>
      </c>
      <c r="I31" s="75" t="s">
        <v>26</v>
      </c>
      <c r="J31" s="75">
        <v>90</v>
      </c>
      <c r="K31" s="75">
        <v>150</v>
      </c>
      <c r="L31" s="62" t="s">
        <v>29</v>
      </c>
      <c r="M31" s="62" t="s">
        <v>29</v>
      </c>
      <c r="N31" s="62" t="s">
        <v>29</v>
      </c>
      <c r="O31" s="62" t="s">
        <v>29</v>
      </c>
      <c r="P31" s="62" t="s">
        <v>155</v>
      </c>
      <c r="Q31" s="62" t="s">
        <v>168</v>
      </c>
      <c r="R31" s="65"/>
      <c r="S31" s="65">
        <f t="shared" si="11"/>
        <v>120</v>
      </c>
      <c r="T31" s="65">
        <f t="shared" si="6"/>
        <v>420000</v>
      </c>
      <c r="U31" s="65"/>
      <c r="V31" s="65" t="e">
        <f t="shared" si="3"/>
        <v>#DIV/0!</v>
      </c>
      <c r="W31" s="65" t="e">
        <f t="shared" si="4"/>
        <v>#DIV/0!</v>
      </c>
      <c r="X31" s="65"/>
      <c r="Y31" s="65"/>
      <c r="Z31" s="65"/>
    </row>
    <row r="32" spans="1:26" s="66" customFormat="1" ht="27.75" customHeight="1">
      <c r="A32" s="62">
        <v>55</v>
      </c>
      <c r="B32" s="62" t="s">
        <v>94</v>
      </c>
      <c r="C32" s="61" t="s">
        <v>188</v>
      </c>
      <c r="D32" s="62" t="s">
        <v>28</v>
      </c>
      <c r="E32" s="62" t="s">
        <v>29</v>
      </c>
      <c r="F32" s="62" t="s">
        <v>29</v>
      </c>
      <c r="G32" s="62" t="s">
        <v>29</v>
      </c>
      <c r="H32" s="75">
        <v>4000</v>
      </c>
      <c r="I32" s="75" t="s">
        <v>26</v>
      </c>
      <c r="J32" s="75">
        <v>90</v>
      </c>
      <c r="K32" s="75">
        <v>150</v>
      </c>
      <c r="L32" s="62" t="s">
        <v>29</v>
      </c>
      <c r="M32" s="62" t="s">
        <v>29</v>
      </c>
      <c r="N32" s="62" t="s">
        <v>29</v>
      </c>
      <c r="O32" s="62" t="s">
        <v>29</v>
      </c>
      <c r="P32" s="62" t="s">
        <v>152</v>
      </c>
      <c r="Q32" s="62" t="s">
        <v>174</v>
      </c>
      <c r="R32" s="65"/>
      <c r="S32" s="65">
        <f t="shared" si="11"/>
        <v>120</v>
      </c>
      <c r="T32" s="65">
        <f t="shared" si="6"/>
        <v>480000</v>
      </c>
      <c r="U32" s="65"/>
      <c r="V32" s="65" t="e">
        <f t="shared" si="3"/>
        <v>#DIV/0!</v>
      </c>
      <c r="W32" s="65" t="e">
        <f t="shared" si="4"/>
        <v>#DIV/0!</v>
      </c>
      <c r="X32" s="65"/>
      <c r="Y32" s="65"/>
      <c r="Z32" s="65"/>
    </row>
    <row r="33" spans="1:26" s="66" customFormat="1" ht="14.25" customHeight="1">
      <c r="A33" s="62">
        <v>55</v>
      </c>
      <c r="B33" s="62" t="s">
        <v>94</v>
      </c>
      <c r="C33" s="62" t="s">
        <v>189</v>
      </c>
      <c r="D33" s="62" t="s">
        <v>28</v>
      </c>
      <c r="E33" s="62" t="s">
        <v>29</v>
      </c>
      <c r="F33" s="62" t="s">
        <v>29</v>
      </c>
      <c r="G33" s="62" t="s">
        <v>29</v>
      </c>
      <c r="H33" s="75">
        <v>3000</v>
      </c>
      <c r="I33" s="75" t="s">
        <v>26</v>
      </c>
      <c r="J33" s="75">
        <v>90</v>
      </c>
      <c r="K33" s="75">
        <v>150</v>
      </c>
      <c r="L33" s="62" t="s">
        <v>29</v>
      </c>
      <c r="M33" s="62" t="s">
        <v>29</v>
      </c>
      <c r="N33" s="62" t="s">
        <v>29</v>
      </c>
      <c r="O33" s="62" t="s">
        <v>29</v>
      </c>
      <c r="P33" s="62" t="s">
        <v>152</v>
      </c>
      <c r="Q33" s="62" t="s">
        <v>190</v>
      </c>
      <c r="R33" s="65"/>
      <c r="S33" s="65">
        <f t="shared" si="11"/>
        <v>120</v>
      </c>
      <c r="T33" s="65">
        <f t="shared" si="6"/>
        <v>360000</v>
      </c>
      <c r="U33" s="65"/>
      <c r="V33" s="65" t="e">
        <f t="shared" si="3"/>
        <v>#DIV/0!</v>
      </c>
      <c r="W33" s="65" t="e">
        <f t="shared" si="4"/>
        <v>#DIV/0!</v>
      </c>
      <c r="X33" s="65"/>
      <c r="Y33" s="65"/>
      <c r="Z33" s="65"/>
    </row>
    <row r="34" spans="1:26" s="66" customFormat="1" ht="27" customHeight="1">
      <c r="A34" s="62">
        <v>55</v>
      </c>
      <c r="B34" s="62" t="s">
        <v>94</v>
      </c>
      <c r="C34" s="61" t="s">
        <v>191</v>
      </c>
      <c r="D34" s="62" t="s">
        <v>28</v>
      </c>
      <c r="E34" s="62" t="s">
        <v>29</v>
      </c>
      <c r="F34" s="62" t="s">
        <v>29</v>
      </c>
      <c r="G34" s="62" t="s">
        <v>29</v>
      </c>
      <c r="H34" s="75">
        <v>2000</v>
      </c>
      <c r="I34" s="75" t="s">
        <v>26</v>
      </c>
      <c r="J34" s="75">
        <v>90</v>
      </c>
      <c r="K34" s="75">
        <v>150</v>
      </c>
      <c r="L34" s="62" t="s">
        <v>29</v>
      </c>
      <c r="M34" s="62" t="s">
        <v>29</v>
      </c>
      <c r="N34" s="62" t="s">
        <v>29</v>
      </c>
      <c r="O34" s="62" t="s">
        <v>29</v>
      </c>
      <c r="P34" s="62" t="s">
        <v>152</v>
      </c>
      <c r="Q34" s="62" t="s">
        <v>192</v>
      </c>
      <c r="R34" s="65"/>
      <c r="S34" s="65">
        <f t="shared" si="11"/>
        <v>120</v>
      </c>
      <c r="T34" s="65">
        <f t="shared" si="6"/>
        <v>240000</v>
      </c>
      <c r="U34" s="65"/>
      <c r="V34" s="65" t="e">
        <f t="shared" si="3"/>
        <v>#DIV/0!</v>
      </c>
      <c r="W34" s="65" t="e">
        <f t="shared" si="4"/>
        <v>#DIV/0!</v>
      </c>
      <c r="X34" s="65"/>
      <c r="Y34" s="65"/>
      <c r="Z34" s="65"/>
    </row>
    <row r="35" spans="1:26" s="66" customFormat="1" ht="14.25" customHeight="1">
      <c r="A35" s="62">
        <v>55</v>
      </c>
      <c r="B35" s="62" t="s">
        <v>94</v>
      </c>
      <c r="C35" s="62" t="s">
        <v>193</v>
      </c>
      <c r="D35" s="62" t="s">
        <v>28</v>
      </c>
      <c r="E35" s="62" t="s">
        <v>29</v>
      </c>
      <c r="F35" s="62" t="s">
        <v>29</v>
      </c>
      <c r="G35" s="62" t="s">
        <v>29</v>
      </c>
      <c r="H35" s="75">
        <v>3000</v>
      </c>
      <c r="I35" s="75" t="s">
        <v>26</v>
      </c>
      <c r="J35" s="75">
        <v>90</v>
      </c>
      <c r="K35" s="75">
        <v>150</v>
      </c>
      <c r="L35" s="62" t="s">
        <v>29</v>
      </c>
      <c r="M35" s="62" t="s">
        <v>29</v>
      </c>
      <c r="N35" s="62" t="s">
        <v>29</v>
      </c>
      <c r="O35" s="62" t="s">
        <v>29</v>
      </c>
      <c r="P35" s="62" t="s">
        <v>194</v>
      </c>
      <c r="Q35" s="62" t="s">
        <v>195</v>
      </c>
      <c r="R35" s="65"/>
      <c r="S35" s="65">
        <f t="shared" si="11"/>
        <v>120</v>
      </c>
      <c r="T35" s="65">
        <f t="shared" si="6"/>
        <v>360000</v>
      </c>
      <c r="U35" s="65"/>
      <c r="V35" s="65" t="e">
        <f t="shared" si="3"/>
        <v>#DIV/0!</v>
      </c>
      <c r="W35" s="65" t="e">
        <f t="shared" si="4"/>
        <v>#DIV/0!</v>
      </c>
      <c r="X35" s="65"/>
      <c r="Y35" s="65"/>
      <c r="Z35" s="65"/>
    </row>
    <row r="36" spans="1:26" s="66" customFormat="1" ht="14.25" customHeight="1">
      <c r="A36" s="62">
        <v>55</v>
      </c>
      <c r="B36" s="62" t="s">
        <v>94</v>
      </c>
      <c r="C36" s="62" t="s">
        <v>196</v>
      </c>
      <c r="D36" s="62" t="s">
        <v>134</v>
      </c>
      <c r="E36" s="62" t="s">
        <v>29</v>
      </c>
      <c r="F36" s="62" t="s">
        <v>29</v>
      </c>
      <c r="G36" s="62" t="s">
        <v>29</v>
      </c>
      <c r="H36" s="75">
        <v>2000</v>
      </c>
      <c r="I36" s="75" t="s">
        <v>26</v>
      </c>
      <c r="J36" s="75">
        <v>90</v>
      </c>
      <c r="K36" s="75">
        <v>150</v>
      </c>
      <c r="L36" s="62" t="s">
        <v>29</v>
      </c>
      <c r="M36" s="62" t="s">
        <v>29</v>
      </c>
      <c r="N36" s="62" t="s">
        <v>29</v>
      </c>
      <c r="O36" s="62" t="s">
        <v>29</v>
      </c>
      <c r="P36" s="62" t="s">
        <v>155</v>
      </c>
      <c r="Q36" s="62" t="s">
        <v>179</v>
      </c>
      <c r="R36" s="65"/>
      <c r="S36" s="65">
        <f t="shared" si="11"/>
        <v>120</v>
      </c>
      <c r="T36" s="65">
        <f t="shared" si="6"/>
        <v>240000</v>
      </c>
      <c r="U36" s="65"/>
      <c r="V36" s="65" t="e">
        <f t="shared" si="3"/>
        <v>#DIV/0!</v>
      </c>
      <c r="W36" s="65" t="e">
        <f t="shared" si="4"/>
        <v>#DIV/0!</v>
      </c>
      <c r="X36" s="65"/>
      <c r="Y36" s="65"/>
      <c r="Z36" s="65"/>
    </row>
    <row r="37" spans="1:26" s="66" customFormat="1" ht="14.25" customHeight="1">
      <c r="A37" s="62">
        <v>55</v>
      </c>
      <c r="B37" s="62" t="s">
        <v>94</v>
      </c>
      <c r="C37" s="62" t="s">
        <v>197</v>
      </c>
      <c r="D37" s="62" t="s">
        <v>134</v>
      </c>
      <c r="E37" s="62" t="s">
        <v>29</v>
      </c>
      <c r="F37" s="62" t="s">
        <v>29</v>
      </c>
      <c r="G37" s="62" t="s">
        <v>29</v>
      </c>
      <c r="H37" s="75">
        <v>1500</v>
      </c>
      <c r="I37" s="75" t="s">
        <v>26</v>
      </c>
      <c r="J37" s="75">
        <v>90</v>
      </c>
      <c r="K37" s="75">
        <v>150</v>
      </c>
      <c r="L37" s="62" t="s">
        <v>29</v>
      </c>
      <c r="M37" s="62" t="s">
        <v>29</v>
      </c>
      <c r="N37" s="62" t="s">
        <v>29</v>
      </c>
      <c r="O37" s="62" t="s">
        <v>29</v>
      </c>
      <c r="P37" s="62" t="s">
        <v>155</v>
      </c>
      <c r="Q37" s="62" t="s">
        <v>198</v>
      </c>
      <c r="R37" s="65"/>
      <c r="S37" s="65">
        <f t="shared" si="11"/>
        <v>120</v>
      </c>
      <c r="T37" s="65">
        <f t="shared" si="6"/>
        <v>180000</v>
      </c>
      <c r="U37" s="65"/>
      <c r="V37" s="65" t="e">
        <f t="shared" ref="V37:V68" si="12">AVERAGE(N37:O37)</f>
        <v>#DIV/0!</v>
      </c>
      <c r="W37" s="65" t="e">
        <f t="shared" ref="W37:W68" si="13">V37*L37</f>
        <v>#DIV/0!</v>
      </c>
      <c r="X37" s="65"/>
      <c r="Y37" s="65"/>
      <c r="Z37" s="65"/>
    </row>
    <row r="38" spans="1:26" s="66" customFormat="1" ht="14.25" customHeight="1">
      <c r="A38" s="62">
        <v>55</v>
      </c>
      <c r="B38" s="62" t="s">
        <v>94</v>
      </c>
      <c r="C38" s="62" t="s">
        <v>199</v>
      </c>
      <c r="D38" s="62" t="s">
        <v>28</v>
      </c>
      <c r="E38" s="62" t="s">
        <v>29</v>
      </c>
      <c r="F38" s="62" t="s">
        <v>29</v>
      </c>
      <c r="G38" s="62" t="s">
        <v>29</v>
      </c>
      <c r="H38" s="75">
        <v>3000</v>
      </c>
      <c r="I38" s="75" t="s">
        <v>26</v>
      </c>
      <c r="J38" s="75">
        <v>90</v>
      </c>
      <c r="K38" s="75">
        <v>150</v>
      </c>
      <c r="L38" s="62" t="s">
        <v>29</v>
      </c>
      <c r="M38" s="62" t="s">
        <v>29</v>
      </c>
      <c r="N38" s="62" t="s">
        <v>29</v>
      </c>
      <c r="O38" s="62" t="s">
        <v>29</v>
      </c>
      <c r="P38" s="62" t="s">
        <v>152</v>
      </c>
      <c r="Q38" s="62" t="s">
        <v>200</v>
      </c>
      <c r="R38" s="65"/>
      <c r="S38" s="65">
        <f t="shared" si="11"/>
        <v>120</v>
      </c>
      <c r="T38" s="65">
        <f t="shared" si="6"/>
        <v>360000</v>
      </c>
      <c r="U38" s="65"/>
      <c r="V38" s="65" t="e">
        <f t="shared" si="12"/>
        <v>#DIV/0!</v>
      </c>
      <c r="W38" s="65" t="e">
        <f t="shared" si="13"/>
        <v>#DIV/0!</v>
      </c>
      <c r="X38" s="65"/>
      <c r="Y38" s="65"/>
      <c r="Z38" s="65"/>
    </row>
    <row r="39" spans="1:26" s="66" customFormat="1" ht="14.25" customHeight="1">
      <c r="A39" s="62">
        <v>55</v>
      </c>
      <c r="B39" s="62" t="s">
        <v>94</v>
      </c>
      <c r="C39" s="61" t="s">
        <v>201</v>
      </c>
      <c r="D39" s="62" t="s">
        <v>28</v>
      </c>
      <c r="E39" s="62" t="s">
        <v>29</v>
      </c>
      <c r="F39" s="62" t="s">
        <v>29</v>
      </c>
      <c r="G39" s="62" t="s">
        <v>29</v>
      </c>
      <c r="H39" s="75">
        <v>700</v>
      </c>
      <c r="I39" s="75" t="s">
        <v>26</v>
      </c>
      <c r="J39" s="75">
        <v>90</v>
      </c>
      <c r="K39" s="75">
        <v>150</v>
      </c>
      <c r="L39" s="62" t="s">
        <v>29</v>
      </c>
      <c r="M39" s="62" t="s">
        <v>29</v>
      </c>
      <c r="N39" s="62" t="s">
        <v>29</v>
      </c>
      <c r="O39" s="62" t="s">
        <v>29</v>
      </c>
      <c r="P39" s="62" t="s">
        <v>152</v>
      </c>
      <c r="Q39" s="62" t="s">
        <v>176</v>
      </c>
      <c r="R39" s="65"/>
      <c r="S39" s="65">
        <f t="shared" si="11"/>
        <v>120</v>
      </c>
      <c r="T39" s="65">
        <f t="shared" si="6"/>
        <v>84000</v>
      </c>
      <c r="U39" s="65"/>
      <c r="V39" s="65" t="e">
        <f t="shared" si="12"/>
        <v>#DIV/0!</v>
      </c>
      <c r="W39" s="65" t="e">
        <f t="shared" si="13"/>
        <v>#DIV/0!</v>
      </c>
      <c r="X39" s="65"/>
      <c r="Y39" s="65"/>
      <c r="Z39" s="65"/>
    </row>
    <row r="40" spans="1:26" s="66" customFormat="1" ht="14.25" customHeight="1">
      <c r="A40" s="62">
        <v>55</v>
      </c>
      <c r="B40" s="62" t="s">
        <v>94</v>
      </c>
      <c r="C40" s="62" t="s">
        <v>182</v>
      </c>
      <c r="D40" s="62" t="s">
        <v>28</v>
      </c>
      <c r="E40" s="62" t="s">
        <v>29</v>
      </c>
      <c r="F40" s="62" t="s">
        <v>29</v>
      </c>
      <c r="G40" s="62" t="s">
        <v>29</v>
      </c>
      <c r="H40" s="75">
        <v>600</v>
      </c>
      <c r="I40" s="75" t="s">
        <v>26</v>
      </c>
      <c r="J40" s="75">
        <v>90</v>
      </c>
      <c r="K40" s="75">
        <v>150</v>
      </c>
      <c r="L40" s="62" t="s">
        <v>29</v>
      </c>
      <c r="M40" s="62" t="s">
        <v>29</v>
      </c>
      <c r="N40" s="62" t="s">
        <v>29</v>
      </c>
      <c r="O40" s="62" t="s">
        <v>29</v>
      </c>
      <c r="P40" s="62" t="s">
        <v>155</v>
      </c>
      <c r="Q40" s="62" t="s">
        <v>183</v>
      </c>
      <c r="R40" s="65"/>
      <c r="S40" s="65">
        <f t="shared" si="11"/>
        <v>120</v>
      </c>
      <c r="T40" s="65">
        <f t="shared" si="6"/>
        <v>72000</v>
      </c>
      <c r="U40" s="65"/>
      <c r="V40" s="65" t="e">
        <f t="shared" si="12"/>
        <v>#DIV/0!</v>
      </c>
      <c r="W40" s="65" t="e">
        <f t="shared" si="13"/>
        <v>#DIV/0!</v>
      </c>
      <c r="X40" s="65"/>
      <c r="Y40" s="65"/>
      <c r="Z40" s="65"/>
    </row>
    <row r="41" spans="1:26" s="66" customFormat="1" ht="14.25" customHeight="1">
      <c r="A41" s="62">
        <v>55</v>
      </c>
      <c r="B41" s="62" t="s">
        <v>94</v>
      </c>
      <c r="C41" s="62" t="s">
        <v>202</v>
      </c>
      <c r="D41" s="62" t="s">
        <v>28</v>
      </c>
      <c r="E41" s="62" t="s">
        <v>29</v>
      </c>
      <c r="F41" s="62" t="s">
        <v>29</v>
      </c>
      <c r="G41" s="62" t="s">
        <v>29</v>
      </c>
      <c r="H41" s="75">
        <v>700</v>
      </c>
      <c r="I41" s="75" t="s">
        <v>26</v>
      </c>
      <c r="J41" s="75">
        <v>90</v>
      </c>
      <c r="K41" s="75">
        <v>150</v>
      </c>
      <c r="L41" s="62" t="s">
        <v>29</v>
      </c>
      <c r="M41" s="62" t="s">
        <v>29</v>
      </c>
      <c r="N41" s="62" t="s">
        <v>29</v>
      </c>
      <c r="O41" s="62" t="s">
        <v>29</v>
      </c>
      <c r="P41" s="62" t="s">
        <v>155</v>
      </c>
      <c r="Q41" s="62" t="s">
        <v>203</v>
      </c>
      <c r="R41" s="65"/>
      <c r="S41" s="65">
        <f t="shared" si="11"/>
        <v>120</v>
      </c>
      <c r="T41" s="65">
        <f t="shared" si="6"/>
        <v>84000</v>
      </c>
      <c r="U41" s="65"/>
      <c r="V41" s="65" t="e">
        <f t="shared" si="12"/>
        <v>#DIV/0!</v>
      </c>
      <c r="W41" s="65" t="e">
        <f t="shared" si="13"/>
        <v>#DIV/0!</v>
      </c>
      <c r="X41" s="65"/>
      <c r="Y41" s="65"/>
      <c r="Z41" s="65"/>
    </row>
    <row r="42" spans="1:26" s="66" customFormat="1" ht="14.25" customHeight="1">
      <c r="A42" s="62">
        <v>55</v>
      </c>
      <c r="B42" s="62" t="s">
        <v>94</v>
      </c>
      <c r="C42" s="62" t="s">
        <v>204</v>
      </c>
      <c r="D42" s="62" t="s">
        <v>134</v>
      </c>
      <c r="E42" s="62" t="s">
        <v>29</v>
      </c>
      <c r="F42" s="62" t="s">
        <v>29</v>
      </c>
      <c r="G42" s="62" t="s">
        <v>29</v>
      </c>
      <c r="H42" s="75">
        <v>2000</v>
      </c>
      <c r="I42" s="75" t="s">
        <v>26</v>
      </c>
      <c r="J42" s="75">
        <v>90</v>
      </c>
      <c r="K42" s="75">
        <v>150</v>
      </c>
      <c r="L42" s="62" t="s">
        <v>29</v>
      </c>
      <c r="M42" s="62" t="s">
        <v>29</v>
      </c>
      <c r="N42" s="62" t="s">
        <v>29</v>
      </c>
      <c r="O42" s="62" t="s">
        <v>29</v>
      </c>
      <c r="P42" s="62" t="s">
        <v>155</v>
      </c>
      <c r="Q42" s="62" t="s">
        <v>205</v>
      </c>
      <c r="R42" s="65"/>
      <c r="S42" s="65">
        <f t="shared" si="11"/>
        <v>120</v>
      </c>
      <c r="T42" s="65">
        <f t="shared" si="6"/>
        <v>240000</v>
      </c>
      <c r="U42" s="65"/>
      <c r="V42" s="65" t="e">
        <f t="shared" si="12"/>
        <v>#DIV/0!</v>
      </c>
      <c r="W42" s="65" t="e">
        <f t="shared" si="13"/>
        <v>#DIV/0!</v>
      </c>
      <c r="X42" s="65"/>
      <c r="Y42" s="65"/>
      <c r="Z42" s="65"/>
    </row>
    <row r="43" spans="1:26" s="66" customFormat="1" ht="14.25" customHeight="1">
      <c r="A43" s="62">
        <v>55</v>
      </c>
      <c r="B43" s="62" t="s">
        <v>94</v>
      </c>
      <c r="C43" s="62" t="s">
        <v>206</v>
      </c>
      <c r="D43" s="62" t="s">
        <v>28</v>
      </c>
      <c r="E43" s="62" t="s">
        <v>29</v>
      </c>
      <c r="F43" s="62" t="s">
        <v>29</v>
      </c>
      <c r="G43" s="62" t="s">
        <v>29</v>
      </c>
      <c r="H43" s="75">
        <v>600</v>
      </c>
      <c r="I43" s="75" t="s">
        <v>26</v>
      </c>
      <c r="J43" s="75">
        <v>90</v>
      </c>
      <c r="K43" s="75">
        <v>150</v>
      </c>
      <c r="L43" s="62" t="s">
        <v>29</v>
      </c>
      <c r="M43" s="62" t="s">
        <v>29</v>
      </c>
      <c r="N43" s="62" t="s">
        <v>29</v>
      </c>
      <c r="O43" s="62" t="s">
        <v>29</v>
      </c>
      <c r="P43" s="62" t="s">
        <v>155</v>
      </c>
      <c r="Q43" s="62" t="s">
        <v>207</v>
      </c>
      <c r="R43" s="65"/>
      <c r="S43" s="65">
        <f t="shared" si="11"/>
        <v>120</v>
      </c>
      <c r="T43" s="65">
        <f t="shared" si="6"/>
        <v>72000</v>
      </c>
      <c r="U43" s="65"/>
      <c r="V43" s="65" t="e">
        <f t="shared" si="12"/>
        <v>#DIV/0!</v>
      </c>
      <c r="W43" s="65" t="e">
        <f t="shared" si="13"/>
        <v>#DIV/0!</v>
      </c>
      <c r="X43" s="65"/>
      <c r="Y43" s="65"/>
      <c r="Z43" s="65"/>
    </row>
    <row r="44" spans="1:26" s="66" customFormat="1" ht="14.25" customHeight="1">
      <c r="A44" s="62">
        <v>55</v>
      </c>
      <c r="B44" s="62" t="s">
        <v>94</v>
      </c>
      <c r="C44" s="62" t="s">
        <v>208</v>
      </c>
      <c r="D44" s="62" t="s">
        <v>28</v>
      </c>
      <c r="E44" s="62" t="s">
        <v>29</v>
      </c>
      <c r="F44" s="62" t="s">
        <v>29</v>
      </c>
      <c r="G44" s="62" t="s">
        <v>29</v>
      </c>
      <c r="H44" s="75">
        <v>1500</v>
      </c>
      <c r="I44" s="75" t="s">
        <v>26</v>
      </c>
      <c r="J44" s="75">
        <v>90</v>
      </c>
      <c r="K44" s="75">
        <v>150</v>
      </c>
      <c r="L44" s="62" t="s">
        <v>29</v>
      </c>
      <c r="M44" s="62" t="s">
        <v>29</v>
      </c>
      <c r="N44" s="62" t="s">
        <v>29</v>
      </c>
      <c r="O44" s="62" t="s">
        <v>29</v>
      </c>
      <c r="P44" s="62" t="s">
        <v>155</v>
      </c>
      <c r="Q44" s="62" t="s">
        <v>209</v>
      </c>
      <c r="R44" s="65"/>
      <c r="S44" s="65">
        <f t="shared" si="11"/>
        <v>120</v>
      </c>
      <c r="T44" s="65">
        <f t="shared" si="6"/>
        <v>180000</v>
      </c>
      <c r="U44" s="65"/>
      <c r="V44" s="65" t="e">
        <f t="shared" si="12"/>
        <v>#DIV/0!</v>
      </c>
      <c r="W44" s="65" t="e">
        <f t="shared" si="13"/>
        <v>#DIV/0!</v>
      </c>
      <c r="X44" s="65"/>
      <c r="Y44" s="65"/>
      <c r="Z44" s="65"/>
    </row>
    <row r="45" spans="1:26" s="66" customFormat="1" ht="14.25" customHeight="1">
      <c r="A45" s="62">
        <v>55</v>
      </c>
      <c r="B45" s="62" t="s">
        <v>94</v>
      </c>
      <c r="C45" s="62" t="s">
        <v>208</v>
      </c>
      <c r="D45" s="62" t="s">
        <v>28</v>
      </c>
      <c r="E45" s="62" t="s">
        <v>29</v>
      </c>
      <c r="F45" s="62" t="s">
        <v>29</v>
      </c>
      <c r="G45" s="62" t="s">
        <v>29</v>
      </c>
      <c r="H45" s="75">
        <v>700</v>
      </c>
      <c r="I45" s="75" t="s">
        <v>26</v>
      </c>
      <c r="J45" s="75">
        <v>90</v>
      </c>
      <c r="K45" s="75">
        <v>150</v>
      </c>
      <c r="L45" s="62" t="s">
        <v>29</v>
      </c>
      <c r="M45" s="62" t="s">
        <v>29</v>
      </c>
      <c r="N45" s="62" t="s">
        <v>29</v>
      </c>
      <c r="O45" s="62" t="s">
        <v>29</v>
      </c>
      <c r="P45" s="62" t="s">
        <v>155</v>
      </c>
      <c r="Q45" s="62" t="s">
        <v>210</v>
      </c>
      <c r="R45" s="65"/>
      <c r="S45" s="65">
        <f t="shared" si="11"/>
        <v>120</v>
      </c>
      <c r="T45" s="65">
        <f t="shared" si="6"/>
        <v>84000</v>
      </c>
      <c r="U45" s="65"/>
      <c r="V45" s="65" t="e">
        <f t="shared" si="12"/>
        <v>#DIV/0!</v>
      </c>
      <c r="W45" s="65" t="e">
        <f t="shared" si="13"/>
        <v>#DIV/0!</v>
      </c>
      <c r="X45" s="65"/>
      <c r="Y45" s="65"/>
      <c r="Z45" s="65"/>
    </row>
    <row r="46" spans="1:26" s="66" customFormat="1" ht="14.25" customHeight="1">
      <c r="A46" s="62">
        <v>55</v>
      </c>
      <c r="B46" s="62" t="s">
        <v>94</v>
      </c>
      <c r="C46" s="62" t="s">
        <v>211</v>
      </c>
      <c r="D46" s="62" t="s">
        <v>28</v>
      </c>
      <c r="E46" s="62" t="s">
        <v>29</v>
      </c>
      <c r="F46" s="62" t="s">
        <v>29</v>
      </c>
      <c r="G46" s="62" t="s">
        <v>29</v>
      </c>
      <c r="H46" s="75">
        <v>1000</v>
      </c>
      <c r="I46" s="75" t="s">
        <v>26</v>
      </c>
      <c r="J46" s="75">
        <v>90</v>
      </c>
      <c r="K46" s="75">
        <v>150</v>
      </c>
      <c r="L46" s="62" t="s">
        <v>29</v>
      </c>
      <c r="M46" s="62" t="s">
        <v>29</v>
      </c>
      <c r="N46" s="62" t="s">
        <v>29</v>
      </c>
      <c r="O46" s="62" t="s">
        <v>29</v>
      </c>
      <c r="P46" s="62" t="s">
        <v>155</v>
      </c>
      <c r="Q46" s="62" t="s">
        <v>212</v>
      </c>
      <c r="R46" s="65"/>
      <c r="S46" s="65">
        <f t="shared" si="11"/>
        <v>120</v>
      </c>
      <c r="T46" s="65">
        <f t="shared" ref="T46:T76" si="14">S46*H46</f>
        <v>120000</v>
      </c>
      <c r="U46" s="65"/>
      <c r="V46" s="65" t="e">
        <f t="shared" si="12"/>
        <v>#DIV/0!</v>
      </c>
      <c r="W46" s="65" t="e">
        <f t="shared" si="13"/>
        <v>#DIV/0!</v>
      </c>
      <c r="X46" s="65"/>
      <c r="Y46" s="65"/>
      <c r="Z46" s="65"/>
    </row>
    <row r="47" spans="1:26" s="66" customFormat="1" ht="14.25" customHeight="1">
      <c r="A47" s="62">
        <v>55</v>
      </c>
      <c r="B47" s="62" t="s">
        <v>94</v>
      </c>
      <c r="C47" s="62" t="s">
        <v>213</v>
      </c>
      <c r="D47" s="62" t="s">
        <v>28</v>
      </c>
      <c r="E47" s="62" t="s">
        <v>29</v>
      </c>
      <c r="F47" s="62" t="s">
        <v>29</v>
      </c>
      <c r="G47" s="62" t="s">
        <v>29</v>
      </c>
      <c r="H47" s="75">
        <v>600</v>
      </c>
      <c r="I47" s="75" t="s">
        <v>26</v>
      </c>
      <c r="J47" s="75">
        <v>90</v>
      </c>
      <c r="K47" s="75">
        <v>150</v>
      </c>
      <c r="L47" s="62" t="s">
        <v>29</v>
      </c>
      <c r="M47" s="62" t="s">
        <v>29</v>
      </c>
      <c r="N47" s="62" t="s">
        <v>29</v>
      </c>
      <c r="O47" s="62" t="s">
        <v>29</v>
      </c>
      <c r="P47" s="62" t="s">
        <v>155</v>
      </c>
      <c r="Q47" s="62" t="s">
        <v>55</v>
      </c>
      <c r="R47" s="65"/>
      <c r="S47" s="65">
        <f t="shared" si="11"/>
        <v>120</v>
      </c>
      <c r="T47" s="65">
        <f t="shared" si="14"/>
        <v>72000</v>
      </c>
      <c r="U47" s="65"/>
      <c r="V47" s="65" t="e">
        <f t="shared" si="12"/>
        <v>#DIV/0!</v>
      </c>
      <c r="W47" s="65" t="e">
        <f t="shared" si="13"/>
        <v>#DIV/0!</v>
      </c>
      <c r="X47" s="65"/>
      <c r="Y47" s="65"/>
      <c r="Z47" s="65"/>
    </row>
    <row r="48" spans="1:26" s="66" customFormat="1" ht="14.25" customHeight="1">
      <c r="A48" s="62">
        <v>55</v>
      </c>
      <c r="B48" s="62" t="s">
        <v>94</v>
      </c>
      <c r="C48" s="62" t="s">
        <v>214</v>
      </c>
      <c r="D48" s="62" t="s">
        <v>28</v>
      </c>
      <c r="E48" s="62" t="s">
        <v>29</v>
      </c>
      <c r="F48" s="62" t="s">
        <v>29</v>
      </c>
      <c r="G48" s="62" t="s">
        <v>29</v>
      </c>
      <c r="H48" s="75">
        <v>800</v>
      </c>
      <c r="I48" s="75" t="s">
        <v>26</v>
      </c>
      <c r="J48" s="75">
        <v>90</v>
      </c>
      <c r="K48" s="75">
        <v>150</v>
      </c>
      <c r="L48" s="62" t="s">
        <v>29</v>
      </c>
      <c r="M48" s="62" t="s">
        <v>29</v>
      </c>
      <c r="N48" s="62" t="s">
        <v>29</v>
      </c>
      <c r="O48" s="62" t="s">
        <v>29</v>
      </c>
      <c r="P48" s="62" t="s">
        <v>155</v>
      </c>
      <c r="Q48" s="62" t="s">
        <v>215</v>
      </c>
      <c r="R48" s="65"/>
      <c r="S48" s="65">
        <f t="shared" si="11"/>
        <v>120</v>
      </c>
      <c r="T48" s="65">
        <f t="shared" si="14"/>
        <v>96000</v>
      </c>
      <c r="U48" s="65"/>
      <c r="V48" s="65" t="e">
        <f t="shared" si="12"/>
        <v>#DIV/0!</v>
      </c>
      <c r="W48" s="65" t="e">
        <f t="shared" si="13"/>
        <v>#DIV/0!</v>
      </c>
      <c r="X48" s="65"/>
      <c r="Y48" s="65"/>
      <c r="Z48" s="65"/>
    </row>
    <row r="49" spans="1:26" s="66" customFormat="1" ht="14.25" customHeight="1">
      <c r="A49" s="62">
        <v>55</v>
      </c>
      <c r="B49" s="62" t="s">
        <v>94</v>
      </c>
      <c r="C49" s="62" t="s">
        <v>157</v>
      </c>
      <c r="D49" s="62" t="s">
        <v>28</v>
      </c>
      <c r="E49" s="62" t="s">
        <v>29</v>
      </c>
      <c r="F49" s="62" t="s">
        <v>29</v>
      </c>
      <c r="G49" s="62" t="s">
        <v>29</v>
      </c>
      <c r="H49" s="75">
        <v>500</v>
      </c>
      <c r="I49" s="75" t="s">
        <v>26</v>
      </c>
      <c r="J49" s="75">
        <v>90</v>
      </c>
      <c r="K49" s="75">
        <v>150</v>
      </c>
      <c r="L49" s="62" t="s">
        <v>29</v>
      </c>
      <c r="M49" s="62" t="s">
        <v>29</v>
      </c>
      <c r="N49" s="62" t="s">
        <v>29</v>
      </c>
      <c r="O49" s="62" t="s">
        <v>29</v>
      </c>
      <c r="P49" s="62" t="s">
        <v>155</v>
      </c>
      <c r="Q49" s="62" t="s">
        <v>216</v>
      </c>
      <c r="R49" s="65"/>
      <c r="S49" s="65">
        <f t="shared" si="11"/>
        <v>120</v>
      </c>
      <c r="T49" s="65">
        <f t="shared" si="14"/>
        <v>60000</v>
      </c>
      <c r="U49" s="65"/>
      <c r="V49" s="65" t="e">
        <f t="shared" si="12"/>
        <v>#DIV/0!</v>
      </c>
      <c r="W49" s="65" t="e">
        <f t="shared" si="13"/>
        <v>#DIV/0!</v>
      </c>
      <c r="X49" s="65"/>
      <c r="Y49" s="65"/>
      <c r="Z49" s="65"/>
    </row>
    <row r="50" spans="1:26" s="66" customFormat="1" ht="14.25" customHeight="1">
      <c r="A50" s="62">
        <v>55</v>
      </c>
      <c r="B50" s="62" t="s">
        <v>94</v>
      </c>
      <c r="C50" s="62" t="s">
        <v>217</v>
      </c>
      <c r="D50" s="62" t="s">
        <v>28</v>
      </c>
      <c r="E50" s="62" t="s">
        <v>29</v>
      </c>
      <c r="F50" s="62" t="s">
        <v>29</v>
      </c>
      <c r="G50" s="62" t="s">
        <v>29</v>
      </c>
      <c r="H50" s="75">
        <v>600</v>
      </c>
      <c r="I50" s="75" t="s">
        <v>26</v>
      </c>
      <c r="J50" s="75">
        <v>90</v>
      </c>
      <c r="K50" s="75">
        <v>150</v>
      </c>
      <c r="L50" s="62" t="s">
        <v>29</v>
      </c>
      <c r="M50" s="62" t="s">
        <v>29</v>
      </c>
      <c r="N50" s="62" t="s">
        <v>29</v>
      </c>
      <c r="O50" s="62" t="s">
        <v>29</v>
      </c>
      <c r="P50" s="62" t="s">
        <v>155</v>
      </c>
      <c r="Q50" s="62" t="s">
        <v>218</v>
      </c>
      <c r="R50" s="65"/>
      <c r="S50" s="65">
        <f t="shared" si="11"/>
        <v>120</v>
      </c>
      <c r="T50" s="65">
        <f t="shared" si="14"/>
        <v>72000</v>
      </c>
      <c r="U50" s="65"/>
      <c r="V50" s="65" t="e">
        <f t="shared" si="12"/>
        <v>#DIV/0!</v>
      </c>
      <c r="W50" s="65" t="e">
        <f t="shared" si="13"/>
        <v>#DIV/0!</v>
      </c>
      <c r="X50" s="65"/>
      <c r="Y50" s="65"/>
      <c r="Z50" s="65"/>
    </row>
    <row r="51" spans="1:26" ht="14.25" customHeight="1">
      <c r="A51" s="7">
        <v>56</v>
      </c>
      <c r="B51" s="6" t="s">
        <v>68</v>
      </c>
      <c r="C51" s="6" t="s">
        <v>219</v>
      </c>
      <c r="D51" s="7" t="s">
        <v>29</v>
      </c>
      <c r="E51" s="7" t="s">
        <v>29</v>
      </c>
      <c r="F51" s="7">
        <v>500</v>
      </c>
      <c r="G51" s="7" t="s">
        <v>26</v>
      </c>
      <c r="H51" s="84">
        <v>2000</v>
      </c>
      <c r="I51" s="75" t="s">
        <v>26</v>
      </c>
      <c r="J51" s="85">
        <v>142</v>
      </c>
      <c r="K51" s="86" t="s">
        <v>29</v>
      </c>
      <c r="L51" s="7" t="s">
        <v>29</v>
      </c>
      <c r="M51" s="7" t="s">
        <v>29</v>
      </c>
      <c r="N51" s="7" t="s">
        <v>29</v>
      </c>
      <c r="O51" s="7" t="s">
        <v>29</v>
      </c>
      <c r="P51" s="7" t="s">
        <v>178</v>
      </c>
      <c r="Q51" s="6" t="s">
        <v>220</v>
      </c>
      <c r="R51" s="8"/>
      <c r="S51" s="13">
        <f t="shared" si="11"/>
        <v>142</v>
      </c>
      <c r="T51" s="8">
        <f t="shared" si="14"/>
        <v>284000</v>
      </c>
      <c r="U51" s="8"/>
      <c r="V51" s="8" t="e">
        <f t="shared" si="12"/>
        <v>#DIV/0!</v>
      </c>
      <c r="W51" s="8" t="e">
        <f t="shared" si="13"/>
        <v>#DIV/0!</v>
      </c>
      <c r="X51" s="8"/>
      <c r="Y51" s="8"/>
      <c r="Z51" s="8"/>
    </row>
    <row r="52" spans="1:26" ht="14.25" customHeight="1">
      <c r="A52" s="7">
        <v>56</v>
      </c>
      <c r="B52" s="6" t="s">
        <v>68</v>
      </c>
      <c r="C52" s="6" t="s">
        <v>221</v>
      </c>
      <c r="D52" s="7" t="s">
        <v>29</v>
      </c>
      <c r="E52" s="7" t="s">
        <v>29</v>
      </c>
      <c r="F52" s="7" t="s">
        <v>29</v>
      </c>
      <c r="G52" s="7" t="s">
        <v>29</v>
      </c>
      <c r="H52" s="84">
        <v>1200</v>
      </c>
      <c r="I52" s="75" t="s">
        <v>26</v>
      </c>
      <c r="J52" s="85">
        <v>120</v>
      </c>
      <c r="K52" s="85">
        <v>140</v>
      </c>
      <c r="L52" s="7" t="s">
        <v>29</v>
      </c>
      <c r="M52" s="7" t="s">
        <v>29</v>
      </c>
      <c r="N52" s="7" t="s">
        <v>29</v>
      </c>
      <c r="O52" s="7" t="s">
        <v>29</v>
      </c>
      <c r="P52" s="7" t="s">
        <v>222</v>
      </c>
      <c r="Q52" s="6" t="s">
        <v>223</v>
      </c>
      <c r="R52" s="8"/>
      <c r="S52" s="13">
        <f t="shared" si="11"/>
        <v>130</v>
      </c>
      <c r="T52" s="8">
        <f t="shared" si="14"/>
        <v>156000</v>
      </c>
      <c r="U52" s="8"/>
      <c r="V52" s="8" t="e">
        <f t="shared" si="12"/>
        <v>#DIV/0!</v>
      </c>
      <c r="W52" s="8" t="e">
        <f t="shared" si="13"/>
        <v>#DIV/0!</v>
      </c>
      <c r="X52" s="8"/>
      <c r="Y52" s="8"/>
      <c r="Z52" s="8"/>
    </row>
    <row r="53" spans="1:26" ht="14.25" customHeight="1">
      <c r="A53" s="7">
        <v>56</v>
      </c>
      <c r="B53" s="6" t="s">
        <v>68</v>
      </c>
      <c r="C53" s="6" t="s">
        <v>221</v>
      </c>
      <c r="D53" s="7" t="s">
        <v>29</v>
      </c>
      <c r="E53" s="7" t="s">
        <v>29</v>
      </c>
      <c r="F53" s="7" t="s">
        <v>29</v>
      </c>
      <c r="G53" s="7" t="s">
        <v>29</v>
      </c>
      <c r="H53" s="84">
        <v>800</v>
      </c>
      <c r="I53" s="75" t="s">
        <v>26</v>
      </c>
      <c r="J53" s="85">
        <v>120</v>
      </c>
      <c r="K53" s="85">
        <v>140</v>
      </c>
      <c r="L53" s="7" t="s">
        <v>29</v>
      </c>
      <c r="M53" s="7" t="s">
        <v>29</v>
      </c>
      <c r="N53" s="7" t="s">
        <v>29</v>
      </c>
      <c r="O53" s="7" t="s">
        <v>29</v>
      </c>
      <c r="P53" s="7" t="s">
        <v>51</v>
      </c>
      <c r="Q53" s="6" t="s">
        <v>224</v>
      </c>
      <c r="R53" s="8"/>
      <c r="S53" s="13">
        <f t="shared" si="11"/>
        <v>130</v>
      </c>
      <c r="T53" s="8">
        <f t="shared" si="14"/>
        <v>104000</v>
      </c>
      <c r="U53" s="8"/>
      <c r="V53" s="8" t="e">
        <f t="shared" si="12"/>
        <v>#DIV/0!</v>
      </c>
      <c r="W53" s="8" t="e">
        <f t="shared" si="13"/>
        <v>#DIV/0!</v>
      </c>
      <c r="X53" s="8"/>
      <c r="Y53" s="8"/>
      <c r="Z53" s="8"/>
    </row>
    <row r="54" spans="1:26" ht="14.25" customHeight="1">
      <c r="A54" s="7">
        <v>56</v>
      </c>
      <c r="B54" s="6" t="s">
        <v>68</v>
      </c>
      <c r="C54" s="6" t="s">
        <v>225</v>
      </c>
      <c r="D54" s="7" t="s">
        <v>29</v>
      </c>
      <c r="E54" s="7" t="s">
        <v>29</v>
      </c>
      <c r="F54" s="7" t="s">
        <v>29</v>
      </c>
      <c r="G54" s="7" t="s">
        <v>29</v>
      </c>
      <c r="H54" s="84">
        <v>900</v>
      </c>
      <c r="I54" s="75" t="s">
        <v>26</v>
      </c>
      <c r="J54" s="85">
        <v>110</v>
      </c>
      <c r="K54" s="85">
        <v>145</v>
      </c>
      <c r="L54" s="7" t="s">
        <v>29</v>
      </c>
      <c r="M54" s="7" t="s">
        <v>29</v>
      </c>
      <c r="N54" s="7" t="s">
        <v>29</v>
      </c>
      <c r="O54" s="7" t="s">
        <v>29</v>
      </c>
      <c r="P54" s="7" t="s">
        <v>226</v>
      </c>
      <c r="Q54" s="6" t="s">
        <v>227</v>
      </c>
      <c r="R54" s="8"/>
      <c r="S54" s="13">
        <f t="shared" si="11"/>
        <v>127.5</v>
      </c>
      <c r="T54" s="8">
        <f t="shared" si="14"/>
        <v>114750</v>
      </c>
      <c r="U54" s="8"/>
      <c r="V54" s="8" t="e">
        <f t="shared" si="12"/>
        <v>#DIV/0!</v>
      </c>
      <c r="W54" s="8" t="e">
        <f t="shared" si="13"/>
        <v>#DIV/0!</v>
      </c>
      <c r="X54" s="8"/>
      <c r="Y54" s="8"/>
      <c r="Z54" s="8"/>
    </row>
    <row r="55" spans="1:26" ht="14.25" customHeight="1">
      <c r="A55" s="7">
        <v>56</v>
      </c>
      <c r="B55" s="6" t="s">
        <v>68</v>
      </c>
      <c r="C55" s="6" t="s">
        <v>228</v>
      </c>
      <c r="D55" s="7" t="s">
        <v>29</v>
      </c>
      <c r="E55" s="7" t="s">
        <v>29</v>
      </c>
      <c r="F55" s="7" t="s">
        <v>29</v>
      </c>
      <c r="G55" s="7" t="s">
        <v>29</v>
      </c>
      <c r="H55" s="84">
        <v>300</v>
      </c>
      <c r="I55" s="75" t="s">
        <v>26</v>
      </c>
      <c r="J55" s="85">
        <v>100</v>
      </c>
      <c r="K55" s="85">
        <v>135</v>
      </c>
      <c r="L55" s="7" t="s">
        <v>29</v>
      </c>
      <c r="M55" s="7" t="s">
        <v>29</v>
      </c>
      <c r="N55" s="7" t="s">
        <v>29</v>
      </c>
      <c r="O55" s="7" t="s">
        <v>29</v>
      </c>
      <c r="P55" s="7" t="s">
        <v>178</v>
      </c>
      <c r="Q55" s="6" t="s">
        <v>229</v>
      </c>
      <c r="R55" s="8"/>
      <c r="S55" s="13">
        <f t="shared" si="11"/>
        <v>117.5</v>
      </c>
      <c r="T55" s="8">
        <f t="shared" si="14"/>
        <v>35250</v>
      </c>
      <c r="U55" s="8"/>
      <c r="V55" s="8" t="e">
        <f t="shared" si="12"/>
        <v>#DIV/0!</v>
      </c>
      <c r="W55" s="8" t="e">
        <f t="shared" si="13"/>
        <v>#DIV/0!</v>
      </c>
      <c r="X55" s="8"/>
      <c r="Y55" s="8"/>
      <c r="Z55" s="8"/>
    </row>
    <row r="56" spans="1:26" ht="14.25" customHeight="1">
      <c r="A56" s="7">
        <v>56</v>
      </c>
      <c r="B56" s="6" t="s">
        <v>68</v>
      </c>
      <c r="C56" s="6" t="s">
        <v>230</v>
      </c>
      <c r="D56" s="7" t="s">
        <v>29</v>
      </c>
      <c r="E56" s="7" t="s">
        <v>29</v>
      </c>
      <c r="F56" s="7" t="s">
        <v>29</v>
      </c>
      <c r="G56" s="7" t="s">
        <v>29</v>
      </c>
      <c r="H56" s="84">
        <v>700</v>
      </c>
      <c r="I56" s="75" t="s">
        <v>26</v>
      </c>
      <c r="J56" s="85">
        <v>135</v>
      </c>
      <c r="K56" s="85" t="s">
        <v>29</v>
      </c>
      <c r="L56" s="7" t="s">
        <v>29</v>
      </c>
      <c r="M56" s="7" t="s">
        <v>29</v>
      </c>
      <c r="N56" s="7" t="s">
        <v>29</v>
      </c>
      <c r="O56" s="7" t="s">
        <v>29</v>
      </c>
      <c r="P56" s="7" t="s">
        <v>178</v>
      </c>
      <c r="Q56" s="6" t="s">
        <v>231</v>
      </c>
      <c r="R56" s="8"/>
      <c r="S56" s="13">
        <f t="shared" si="11"/>
        <v>135</v>
      </c>
      <c r="T56" s="8">
        <f t="shared" si="14"/>
        <v>94500</v>
      </c>
      <c r="U56" s="8"/>
      <c r="V56" s="8" t="e">
        <f t="shared" si="12"/>
        <v>#DIV/0!</v>
      </c>
      <c r="W56" s="8" t="e">
        <f t="shared" si="13"/>
        <v>#DIV/0!</v>
      </c>
      <c r="X56" s="8"/>
      <c r="Y56" s="8"/>
      <c r="Z56" s="8"/>
    </row>
    <row r="57" spans="1:26" ht="14.25" customHeight="1">
      <c r="A57" s="7">
        <v>56</v>
      </c>
      <c r="B57" s="6" t="s">
        <v>68</v>
      </c>
      <c r="C57" s="6" t="s">
        <v>232</v>
      </c>
      <c r="D57" s="7" t="s">
        <v>29</v>
      </c>
      <c r="E57" s="7" t="s">
        <v>29</v>
      </c>
      <c r="F57" s="7" t="s">
        <v>29</v>
      </c>
      <c r="G57" s="7" t="s">
        <v>29</v>
      </c>
      <c r="H57" s="84">
        <v>400</v>
      </c>
      <c r="I57" s="75" t="s">
        <v>26</v>
      </c>
      <c r="J57" s="85">
        <v>120</v>
      </c>
      <c r="K57" s="85">
        <v>140</v>
      </c>
      <c r="L57" s="7" t="s">
        <v>29</v>
      </c>
      <c r="M57" s="7" t="s">
        <v>29</v>
      </c>
      <c r="N57" s="7" t="s">
        <v>29</v>
      </c>
      <c r="O57" s="7" t="s">
        <v>29</v>
      </c>
      <c r="P57" s="7" t="s">
        <v>178</v>
      </c>
      <c r="Q57" s="6" t="s">
        <v>233</v>
      </c>
      <c r="R57" s="8"/>
      <c r="S57" s="13">
        <f t="shared" si="11"/>
        <v>130</v>
      </c>
      <c r="T57" s="8">
        <f t="shared" si="14"/>
        <v>52000</v>
      </c>
      <c r="U57" s="8"/>
      <c r="V57" s="8" t="e">
        <f t="shared" si="12"/>
        <v>#DIV/0!</v>
      </c>
      <c r="W57" s="8" t="e">
        <f t="shared" si="13"/>
        <v>#DIV/0!</v>
      </c>
      <c r="X57" s="8"/>
      <c r="Y57" s="8"/>
      <c r="Z57" s="8"/>
    </row>
    <row r="58" spans="1:26" ht="14.25" customHeight="1">
      <c r="A58" s="7">
        <v>56</v>
      </c>
      <c r="B58" s="6" t="s">
        <v>68</v>
      </c>
      <c r="C58" s="6" t="s">
        <v>225</v>
      </c>
      <c r="D58" s="7" t="s">
        <v>29</v>
      </c>
      <c r="E58" s="7" t="s">
        <v>29</v>
      </c>
      <c r="F58" s="7" t="s">
        <v>29</v>
      </c>
      <c r="G58" s="7" t="s">
        <v>29</v>
      </c>
      <c r="H58" s="84">
        <v>250</v>
      </c>
      <c r="I58" s="75" t="s">
        <v>26</v>
      </c>
      <c r="J58" s="85">
        <v>120</v>
      </c>
      <c r="K58" s="85">
        <v>130</v>
      </c>
      <c r="L58" s="7" t="s">
        <v>29</v>
      </c>
      <c r="M58" s="7" t="s">
        <v>29</v>
      </c>
      <c r="N58" s="7" t="s">
        <v>29</v>
      </c>
      <c r="O58" s="7" t="s">
        <v>29</v>
      </c>
      <c r="P58" s="7" t="s">
        <v>178</v>
      </c>
      <c r="Q58" s="6" t="s">
        <v>234</v>
      </c>
      <c r="R58" s="8"/>
      <c r="S58" s="13">
        <f t="shared" si="11"/>
        <v>125</v>
      </c>
      <c r="T58" s="8">
        <f t="shared" si="14"/>
        <v>31250</v>
      </c>
      <c r="U58" s="8"/>
      <c r="V58" s="8" t="e">
        <f t="shared" si="12"/>
        <v>#DIV/0!</v>
      </c>
      <c r="W58" s="8" t="e">
        <f t="shared" si="13"/>
        <v>#DIV/0!</v>
      </c>
      <c r="X58" s="8"/>
      <c r="Y58" s="8"/>
      <c r="Z58" s="8"/>
    </row>
    <row r="59" spans="1:26" ht="14.25" customHeight="1">
      <c r="A59" s="7">
        <v>56</v>
      </c>
      <c r="B59" s="6" t="s">
        <v>235</v>
      </c>
      <c r="C59" s="6" t="s">
        <v>157</v>
      </c>
      <c r="D59" s="7" t="s">
        <v>29</v>
      </c>
      <c r="E59" s="7" t="s">
        <v>29</v>
      </c>
      <c r="F59" s="7" t="s">
        <v>29</v>
      </c>
      <c r="G59" s="7" t="s">
        <v>29</v>
      </c>
      <c r="H59" s="84">
        <v>1200</v>
      </c>
      <c r="I59" s="75" t="s">
        <v>26</v>
      </c>
      <c r="J59" s="85">
        <v>45</v>
      </c>
      <c r="K59" s="85">
        <v>85</v>
      </c>
      <c r="L59" s="7" t="s">
        <v>29</v>
      </c>
      <c r="M59" s="7" t="s">
        <v>29</v>
      </c>
      <c r="N59" s="7" t="s">
        <v>29</v>
      </c>
      <c r="O59" s="7" t="s">
        <v>29</v>
      </c>
      <c r="P59" s="7" t="s">
        <v>178</v>
      </c>
      <c r="Q59" s="6" t="s">
        <v>236</v>
      </c>
      <c r="R59" s="8"/>
      <c r="S59" s="13">
        <f t="shared" si="11"/>
        <v>65</v>
      </c>
      <c r="T59" s="8">
        <f t="shared" si="14"/>
        <v>78000</v>
      </c>
      <c r="U59" s="8"/>
      <c r="V59" s="8" t="e">
        <f t="shared" si="12"/>
        <v>#DIV/0!</v>
      </c>
      <c r="W59" s="8" t="e">
        <f t="shared" si="13"/>
        <v>#DIV/0!</v>
      </c>
      <c r="X59" s="8"/>
      <c r="Y59" s="8"/>
      <c r="Z59" s="8"/>
    </row>
    <row r="60" spans="1:26" ht="14.25" customHeight="1">
      <c r="A60" s="7">
        <v>56</v>
      </c>
      <c r="B60" s="6" t="s">
        <v>235</v>
      </c>
      <c r="C60" s="6" t="s">
        <v>82</v>
      </c>
      <c r="D60" s="7" t="s">
        <v>29</v>
      </c>
      <c r="E60" s="7" t="s">
        <v>29</v>
      </c>
      <c r="F60" s="7" t="s">
        <v>29</v>
      </c>
      <c r="G60" s="7" t="s">
        <v>29</v>
      </c>
      <c r="H60" s="84">
        <v>2100</v>
      </c>
      <c r="I60" s="75" t="s">
        <v>26</v>
      </c>
      <c r="J60" s="85">
        <v>137</v>
      </c>
      <c r="K60" s="85" t="s">
        <v>29</v>
      </c>
      <c r="L60" s="7" t="s">
        <v>29</v>
      </c>
      <c r="M60" s="7" t="s">
        <v>29</v>
      </c>
      <c r="N60" s="7" t="s">
        <v>29</v>
      </c>
      <c r="O60" s="7" t="s">
        <v>29</v>
      </c>
      <c r="P60" s="7" t="s">
        <v>226</v>
      </c>
      <c r="Q60" s="6" t="s">
        <v>237</v>
      </c>
      <c r="R60" s="8"/>
      <c r="S60" s="13">
        <f t="shared" si="11"/>
        <v>137</v>
      </c>
      <c r="T60" s="8">
        <f t="shared" si="14"/>
        <v>287700</v>
      </c>
      <c r="U60" s="8"/>
      <c r="V60" s="8" t="e">
        <f t="shared" si="12"/>
        <v>#DIV/0!</v>
      </c>
      <c r="W60" s="8" t="e">
        <f t="shared" si="13"/>
        <v>#DIV/0!</v>
      </c>
      <c r="X60" s="8"/>
      <c r="Y60" s="8"/>
      <c r="Z60" s="8"/>
    </row>
    <row r="61" spans="1:26" ht="14.25" customHeight="1">
      <c r="A61" s="7">
        <v>56</v>
      </c>
      <c r="B61" s="6" t="s">
        <v>235</v>
      </c>
      <c r="C61" s="6" t="s">
        <v>238</v>
      </c>
      <c r="D61" s="7" t="s">
        <v>29</v>
      </c>
      <c r="E61" s="7" t="s">
        <v>29</v>
      </c>
      <c r="F61" s="7" t="s">
        <v>29</v>
      </c>
      <c r="G61" s="7" t="s">
        <v>29</v>
      </c>
      <c r="H61" s="84">
        <v>3500</v>
      </c>
      <c r="I61" s="75" t="s">
        <v>26</v>
      </c>
      <c r="J61" s="85">
        <v>130</v>
      </c>
      <c r="K61" s="85">
        <v>150</v>
      </c>
      <c r="L61" s="7" t="s">
        <v>29</v>
      </c>
      <c r="M61" s="7" t="s">
        <v>29</v>
      </c>
      <c r="N61" s="7" t="s">
        <v>29</v>
      </c>
      <c r="O61" s="7" t="s">
        <v>29</v>
      </c>
      <c r="P61" s="7" t="s">
        <v>226</v>
      </c>
      <c r="Q61" s="6" t="s">
        <v>239</v>
      </c>
      <c r="R61" s="8"/>
      <c r="S61" s="13">
        <f t="shared" si="11"/>
        <v>140</v>
      </c>
      <c r="T61" s="8">
        <f t="shared" si="14"/>
        <v>490000</v>
      </c>
      <c r="U61" s="8"/>
      <c r="V61" s="8" t="e">
        <f t="shared" si="12"/>
        <v>#DIV/0!</v>
      </c>
      <c r="W61" s="8" t="e">
        <f t="shared" si="13"/>
        <v>#DIV/0!</v>
      </c>
      <c r="X61" s="8"/>
      <c r="Y61" s="8"/>
      <c r="Z61" s="8"/>
    </row>
    <row r="62" spans="1:26" ht="14.25" customHeight="1">
      <c r="A62" s="7">
        <v>56</v>
      </c>
      <c r="B62" s="6" t="s">
        <v>235</v>
      </c>
      <c r="C62" s="6" t="s">
        <v>240</v>
      </c>
      <c r="D62" s="7" t="s">
        <v>29</v>
      </c>
      <c r="E62" s="7" t="s">
        <v>29</v>
      </c>
      <c r="F62" s="7" t="s">
        <v>29</v>
      </c>
      <c r="G62" s="7" t="s">
        <v>29</v>
      </c>
      <c r="H62" s="84">
        <v>500</v>
      </c>
      <c r="I62" s="75" t="s">
        <v>26</v>
      </c>
      <c r="J62" s="85">
        <v>130</v>
      </c>
      <c r="K62" s="85">
        <v>140</v>
      </c>
      <c r="L62" s="7" t="s">
        <v>29</v>
      </c>
      <c r="M62" s="7" t="s">
        <v>29</v>
      </c>
      <c r="N62" s="7" t="s">
        <v>29</v>
      </c>
      <c r="O62" s="7" t="s">
        <v>29</v>
      </c>
      <c r="P62" s="7" t="s">
        <v>226</v>
      </c>
      <c r="Q62" s="6" t="s">
        <v>237</v>
      </c>
      <c r="R62" s="8"/>
      <c r="S62" s="13">
        <f t="shared" si="11"/>
        <v>135</v>
      </c>
      <c r="T62" s="8">
        <f t="shared" si="14"/>
        <v>67500</v>
      </c>
      <c r="U62" s="8"/>
      <c r="V62" s="8" t="e">
        <f t="shared" si="12"/>
        <v>#DIV/0!</v>
      </c>
      <c r="W62" s="8" t="e">
        <f t="shared" si="13"/>
        <v>#DIV/0!</v>
      </c>
      <c r="X62" s="8"/>
      <c r="Y62" s="8"/>
      <c r="Z62" s="8"/>
    </row>
    <row r="63" spans="1:26" ht="14.25" customHeight="1">
      <c r="A63" s="7">
        <v>56</v>
      </c>
      <c r="B63" s="6" t="s">
        <v>235</v>
      </c>
      <c r="C63" s="6" t="s">
        <v>241</v>
      </c>
      <c r="D63" s="7" t="s">
        <v>29</v>
      </c>
      <c r="E63" s="7" t="s">
        <v>29</v>
      </c>
      <c r="F63" s="7" t="s">
        <v>29</v>
      </c>
      <c r="G63" s="7" t="s">
        <v>29</v>
      </c>
      <c r="H63" s="84">
        <v>600</v>
      </c>
      <c r="I63" s="75" t="s">
        <v>26</v>
      </c>
      <c r="J63" s="85">
        <v>130</v>
      </c>
      <c r="K63" s="85">
        <v>145</v>
      </c>
      <c r="L63" s="7" t="s">
        <v>29</v>
      </c>
      <c r="M63" s="7" t="s">
        <v>29</v>
      </c>
      <c r="N63" s="7" t="s">
        <v>29</v>
      </c>
      <c r="O63" s="7" t="s">
        <v>29</v>
      </c>
      <c r="P63" s="7" t="s">
        <v>51</v>
      </c>
      <c r="Q63" s="6" t="s">
        <v>242</v>
      </c>
      <c r="R63" s="8"/>
      <c r="S63" s="13">
        <f t="shared" si="11"/>
        <v>137.5</v>
      </c>
      <c r="T63" s="8">
        <f t="shared" si="14"/>
        <v>82500</v>
      </c>
      <c r="U63" s="8"/>
      <c r="V63" s="8" t="e">
        <f t="shared" si="12"/>
        <v>#DIV/0!</v>
      </c>
      <c r="W63" s="8" t="e">
        <f t="shared" si="13"/>
        <v>#DIV/0!</v>
      </c>
      <c r="X63" s="8"/>
      <c r="Y63" s="8"/>
      <c r="Z63" s="8"/>
    </row>
    <row r="64" spans="1:26" ht="14.25" customHeight="1">
      <c r="A64" s="7">
        <v>56</v>
      </c>
      <c r="B64" s="6" t="s">
        <v>235</v>
      </c>
      <c r="C64" s="6" t="s">
        <v>243</v>
      </c>
      <c r="D64" s="7" t="s">
        <v>29</v>
      </c>
      <c r="E64" s="7" t="s">
        <v>29</v>
      </c>
      <c r="F64" s="7" t="s">
        <v>29</v>
      </c>
      <c r="G64" s="7" t="s">
        <v>29</v>
      </c>
      <c r="H64" s="84">
        <v>700</v>
      </c>
      <c r="I64" s="75" t="s">
        <v>26</v>
      </c>
      <c r="J64" s="85">
        <v>130</v>
      </c>
      <c r="K64" s="85">
        <v>145</v>
      </c>
      <c r="L64" s="7" t="s">
        <v>29</v>
      </c>
      <c r="M64" s="7" t="s">
        <v>29</v>
      </c>
      <c r="N64" s="7" t="s">
        <v>29</v>
      </c>
      <c r="O64" s="7" t="s">
        <v>29</v>
      </c>
      <c r="P64" s="7" t="s">
        <v>178</v>
      </c>
      <c r="Q64" s="6" t="s">
        <v>244</v>
      </c>
      <c r="R64" s="8"/>
      <c r="S64" s="13">
        <f t="shared" si="11"/>
        <v>137.5</v>
      </c>
      <c r="T64" s="8">
        <f t="shared" si="14"/>
        <v>96250</v>
      </c>
      <c r="U64" s="8"/>
      <c r="V64" s="8" t="e">
        <f t="shared" si="12"/>
        <v>#DIV/0!</v>
      </c>
      <c r="W64" s="8" t="e">
        <f t="shared" si="13"/>
        <v>#DIV/0!</v>
      </c>
      <c r="X64" s="8"/>
      <c r="Y64" s="8"/>
      <c r="Z64" s="8"/>
    </row>
    <row r="65" spans="1:26" ht="14.25" customHeight="1">
      <c r="A65" s="7">
        <v>56</v>
      </c>
      <c r="B65" s="6" t="s">
        <v>235</v>
      </c>
      <c r="C65" s="6" t="s">
        <v>245</v>
      </c>
      <c r="D65" s="7" t="s">
        <v>29</v>
      </c>
      <c r="E65" s="7" t="s">
        <v>29</v>
      </c>
      <c r="F65" s="7" t="s">
        <v>29</v>
      </c>
      <c r="G65" s="7" t="s">
        <v>29</v>
      </c>
      <c r="H65" s="84">
        <v>400</v>
      </c>
      <c r="I65" s="75" t="s">
        <v>26</v>
      </c>
      <c r="J65" s="85">
        <v>50</v>
      </c>
      <c r="K65" s="85">
        <v>87</v>
      </c>
      <c r="L65" s="7" t="s">
        <v>29</v>
      </c>
      <c r="M65" s="7" t="s">
        <v>29</v>
      </c>
      <c r="N65" s="7" t="s">
        <v>29</v>
      </c>
      <c r="O65" s="7" t="s">
        <v>29</v>
      </c>
      <c r="P65" s="7" t="s">
        <v>178</v>
      </c>
      <c r="Q65" s="6" t="s">
        <v>246</v>
      </c>
      <c r="R65" s="8"/>
      <c r="S65" s="13">
        <f t="shared" si="11"/>
        <v>68.5</v>
      </c>
      <c r="T65" s="8">
        <f t="shared" si="14"/>
        <v>27400</v>
      </c>
      <c r="U65" s="8"/>
      <c r="V65" s="8" t="e">
        <f t="shared" si="12"/>
        <v>#DIV/0!</v>
      </c>
      <c r="W65" s="8" t="e">
        <f t="shared" si="13"/>
        <v>#DIV/0!</v>
      </c>
      <c r="X65" s="8"/>
      <c r="Y65" s="8"/>
      <c r="Z65" s="8"/>
    </row>
    <row r="66" spans="1:26" ht="14.25" customHeight="1">
      <c r="A66" s="7">
        <v>56</v>
      </c>
      <c r="B66" s="6" t="s">
        <v>235</v>
      </c>
      <c r="C66" s="6" t="s">
        <v>247</v>
      </c>
      <c r="D66" s="7" t="s">
        <v>29</v>
      </c>
      <c r="E66" s="7" t="s">
        <v>29</v>
      </c>
      <c r="F66" s="7" t="s">
        <v>29</v>
      </c>
      <c r="G66" s="7" t="s">
        <v>29</v>
      </c>
      <c r="H66" s="75">
        <v>900</v>
      </c>
      <c r="I66" s="75" t="s">
        <v>26</v>
      </c>
      <c r="J66" s="85">
        <v>45</v>
      </c>
      <c r="K66" s="84">
        <v>85</v>
      </c>
      <c r="L66" s="7" t="s">
        <v>29</v>
      </c>
      <c r="M66" s="7" t="s">
        <v>29</v>
      </c>
      <c r="N66" s="7" t="s">
        <v>29</v>
      </c>
      <c r="O66" s="7" t="s">
        <v>29</v>
      </c>
      <c r="P66" s="7" t="s">
        <v>178</v>
      </c>
      <c r="Q66" s="7" t="s">
        <v>248</v>
      </c>
      <c r="R66" s="8"/>
      <c r="S66" s="13">
        <f t="shared" si="11"/>
        <v>65</v>
      </c>
      <c r="T66" s="8">
        <f t="shared" si="14"/>
        <v>58500</v>
      </c>
      <c r="U66" s="8"/>
      <c r="V66" s="8" t="e">
        <f t="shared" si="12"/>
        <v>#DIV/0!</v>
      </c>
      <c r="W66" s="8" t="e">
        <f t="shared" si="13"/>
        <v>#DIV/0!</v>
      </c>
      <c r="X66" s="8"/>
      <c r="Y66" s="8"/>
      <c r="Z66" s="8"/>
    </row>
    <row r="67" spans="1:26" ht="14.25" customHeight="1">
      <c r="A67" s="7">
        <v>56</v>
      </c>
      <c r="B67" s="6" t="s">
        <v>235</v>
      </c>
      <c r="C67" s="6" t="s">
        <v>249</v>
      </c>
      <c r="D67" s="7" t="s">
        <v>29</v>
      </c>
      <c r="E67" s="7" t="s">
        <v>29</v>
      </c>
      <c r="F67" s="7" t="s">
        <v>29</v>
      </c>
      <c r="G67" s="7" t="s">
        <v>29</v>
      </c>
      <c r="H67" s="75">
        <v>1000</v>
      </c>
      <c r="I67" s="75" t="s">
        <v>26</v>
      </c>
      <c r="J67" s="85">
        <v>45</v>
      </c>
      <c r="K67" s="84">
        <v>87</v>
      </c>
      <c r="L67" s="7" t="s">
        <v>29</v>
      </c>
      <c r="M67" s="7" t="s">
        <v>29</v>
      </c>
      <c r="N67" s="7" t="s">
        <v>29</v>
      </c>
      <c r="O67" s="7" t="s">
        <v>29</v>
      </c>
      <c r="P67" s="7" t="s">
        <v>29</v>
      </c>
      <c r="Q67" s="7" t="s">
        <v>250</v>
      </c>
      <c r="R67" s="8"/>
      <c r="S67" s="13">
        <f t="shared" si="11"/>
        <v>66</v>
      </c>
      <c r="T67" s="8">
        <f t="shared" si="14"/>
        <v>66000</v>
      </c>
      <c r="U67" s="8"/>
      <c r="V67" s="8" t="e">
        <f t="shared" si="12"/>
        <v>#DIV/0!</v>
      </c>
      <c r="W67" s="8" t="e">
        <f t="shared" si="13"/>
        <v>#DIV/0!</v>
      </c>
      <c r="X67" s="8"/>
      <c r="Y67" s="8"/>
      <c r="Z67" s="8"/>
    </row>
    <row r="68" spans="1:26" ht="14.25" customHeight="1">
      <c r="A68" s="7">
        <v>56</v>
      </c>
      <c r="B68" s="6" t="s">
        <v>251</v>
      </c>
      <c r="C68" s="6" t="s">
        <v>249</v>
      </c>
      <c r="D68" s="7" t="s">
        <v>29</v>
      </c>
      <c r="E68" s="7" t="s">
        <v>29</v>
      </c>
      <c r="F68" s="7" t="s">
        <v>29</v>
      </c>
      <c r="G68" s="7" t="s">
        <v>29</v>
      </c>
      <c r="H68" s="75">
        <v>1000</v>
      </c>
      <c r="I68" s="75" t="s">
        <v>26</v>
      </c>
      <c r="J68" s="85">
        <v>135</v>
      </c>
      <c r="K68" s="84">
        <v>150</v>
      </c>
      <c r="L68" s="7" t="s">
        <v>29</v>
      </c>
      <c r="M68" s="7" t="s">
        <v>29</v>
      </c>
      <c r="N68" s="7" t="s">
        <v>29</v>
      </c>
      <c r="O68" s="7" t="s">
        <v>29</v>
      </c>
      <c r="P68" s="7" t="s">
        <v>29</v>
      </c>
      <c r="Q68" s="7" t="s">
        <v>250</v>
      </c>
      <c r="R68" s="8"/>
      <c r="S68" s="13">
        <f t="shared" si="11"/>
        <v>142.5</v>
      </c>
      <c r="T68" s="8">
        <f t="shared" si="14"/>
        <v>142500</v>
      </c>
      <c r="U68" s="8"/>
      <c r="V68" s="8" t="e">
        <f t="shared" si="12"/>
        <v>#DIV/0!</v>
      </c>
      <c r="W68" s="8" t="e">
        <f t="shared" si="13"/>
        <v>#DIV/0!</v>
      </c>
      <c r="X68" s="8"/>
      <c r="Y68" s="8"/>
      <c r="Z68" s="8"/>
    </row>
    <row r="69" spans="1:26" ht="14.25" customHeight="1">
      <c r="A69" s="7">
        <v>56</v>
      </c>
      <c r="B69" s="7" t="s">
        <v>70</v>
      </c>
      <c r="C69" s="6" t="s">
        <v>252</v>
      </c>
      <c r="D69" s="6" t="s">
        <v>134</v>
      </c>
      <c r="E69" s="7" t="s">
        <v>29</v>
      </c>
      <c r="F69" s="7">
        <f>300*60</f>
        <v>18000</v>
      </c>
      <c r="G69" s="7" t="s">
        <v>26</v>
      </c>
      <c r="H69" s="75">
        <f>500*60</f>
        <v>30000</v>
      </c>
      <c r="I69" s="75" t="s">
        <v>26</v>
      </c>
      <c r="J69" s="76">
        <f>520/60</f>
        <v>8.6666666666666661</v>
      </c>
      <c r="K69" s="75">
        <f>1200/60</f>
        <v>20</v>
      </c>
      <c r="L69" s="7" t="s">
        <v>29</v>
      </c>
      <c r="M69" s="7" t="s">
        <v>29</v>
      </c>
      <c r="N69" s="7" t="s">
        <v>29</v>
      </c>
      <c r="O69" s="7" t="s">
        <v>29</v>
      </c>
      <c r="P69" s="7" t="s">
        <v>51</v>
      </c>
      <c r="Q69" s="7" t="s">
        <v>253</v>
      </c>
      <c r="R69" s="8"/>
      <c r="S69" s="8">
        <f t="shared" ref="S69:S76" si="15">(AVERAGE(J69:K69))/60</f>
        <v>0.23888888888888887</v>
      </c>
      <c r="T69" s="8">
        <f t="shared" si="14"/>
        <v>7166.6666666666661</v>
      </c>
      <c r="U69" s="8"/>
      <c r="V69" s="8" t="e">
        <f t="shared" ref="V69:V100" si="16">AVERAGE(N69:O69)</f>
        <v>#DIV/0!</v>
      </c>
      <c r="W69" s="8" t="e">
        <f t="shared" ref="W69:W100" si="17">V69*L69</f>
        <v>#DIV/0!</v>
      </c>
      <c r="X69" s="8"/>
      <c r="Y69" s="8"/>
      <c r="Z69" s="8"/>
    </row>
    <row r="70" spans="1:26" ht="14.25" customHeight="1">
      <c r="A70" s="7">
        <v>56</v>
      </c>
      <c r="B70" s="7" t="s">
        <v>70</v>
      </c>
      <c r="C70" s="6" t="s">
        <v>254</v>
      </c>
      <c r="D70" s="6" t="s">
        <v>134</v>
      </c>
      <c r="E70" s="7" t="s">
        <v>29</v>
      </c>
      <c r="F70" s="7">
        <f>80*60</f>
        <v>4800</v>
      </c>
      <c r="G70" s="7" t="s">
        <v>26</v>
      </c>
      <c r="H70" s="75">
        <f>300*60</f>
        <v>18000</v>
      </c>
      <c r="I70" s="75" t="s">
        <v>26</v>
      </c>
      <c r="J70" s="75">
        <f>930/60</f>
        <v>15.5</v>
      </c>
      <c r="K70" s="75">
        <f>1230/60</f>
        <v>20.5</v>
      </c>
      <c r="L70" s="75">
        <f>550*60</f>
        <v>33000</v>
      </c>
      <c r="M70" s="75" t="s">
        <v>26</v>
      </c>
      <c r="N70" s="75">
        <f>330/60</f>
        <v>5.5</v>
      </c>
      <c r="O70" s="76">
        <f>425/60</f>
        <v>7.083333333333333</v>
      </c>
      <c r="P70" s="7" t="s">
        <v>51</v>
      </c>
      <c r="Q70" s="7" t="s">
        <v>255</v>
      </c>
      <c r="R70" s="8"/>
      <c r="S70" s="8">
        <f t="shared" si="15"/>
        <v>0.3</v>
      </c>
      <c r="T70" s="8">
        <f t="shared" si="14"/>
        <v>5400</v>
      </c>
      <c r="U70" s="8"/>
      <c r="V70" s="8">
        <f t="shared" si="16"/>
        <v>6.2916666666666661</v>
      </c>
      <c r="W70" s="8">
        <f t="shared" si="17"/>
        <v>207624.99999999997</v>
      </c>
      <c r="X70" s="8"/>
      <c r="Y70" s="8"/>
      <c r="Z70" s="8"/>
    </row>
    <row r="71" spans="1:26" ht="14.25" customHeight="1">
      <c r="A71" s="7">
        <v>56</v>
      </c>
      <c r="B71" s="7" t="s">
        <v>70</v>
      </c>
      <c r="C71" s="6" t="s">
        <v>254</v>
      </c>
      <c r="D71" s="6" t="s">
        <v>134</v>
      </c>
      <c r="E71" s="7" t="s">
        <v>29</v>
      </c>
      <c r="F71" s="7">
        <f>30*60</f>
        <v>1800</v>
      </c>
      <c r="G71" s="7" t="s">
        <v>26</v>
      </c>
      <c r="H71" s="75">
        <f>80*60</f>
        <v>4800</v>
      </c>
      <c r="I71" s="75" t="s">
        <v>26</v>
      </c>
      <c r="J71" s="76">
        <f>400/60</f>
        <v>6.666666666666667</v>
      </c>
      <c r="K71" s="76">
        <f>1000/60</f>
        <v>16.666666666666668</v>
      </c>
      <c r="L71" s="7" t="s">
        <v>29</v>
      </c>
      <c r="M71" s="7" t="s">
        <v>29</v>
      </c>
      <c r="N71" s="7" t="s">
        <v>29</v>
      </c>
      <c r="O71" s="7" t="s">
        <v>29</v>
      </c>
      <c r="P71" s="7" t="s">
        <v>256</v>
      </c>
      <c r="Q71" s="7" t="s">
        <v>223</v>
      </c>
      <c r="R71" s="8"/>
      <c r="S71" s="8">
        <f t="shared" si="15"/>
        <v>0.19444444444444448</v>
      </c>
      <c r="T71" s="8">
        <f t="shared" si="14"/>
        <v>933.33333333333348</v>
      </c>
      <c r="U71" s="8"/>
      <c r="V71" s="8" t="e">
        <f t="shared" si="16"/>
        <v>#DIV/0!</v>
      </c>
      <c r="W71" s="8" t="e">
        <f t="shared" si="17"/>
        <v>#DIV/0!</v>
      </c>
      <c r="X71" s="8"/>
      <c r="Y71" s="8"/>
      <c r="Z71" s="8"/>
    </row>
    <row r="72" spans="1:26" ht="14.25" customHeight="1">
      <c r="A72" s="7">
        <v>56</v>
      </c>
      <c r="B72" s="7" t="s">
        <v>70</v>
      </c>
      <c r="C72" s="6" t="s">
        <v>254</v>
      </c>
      <c r="D72" s="6" t="s">
        <v>134</v>
      </c>
      <c r="E72" s="7" t="s">
        <v>29</v>
      </c>
      <c r="F72" s="7">
        <f t="shared" ref="F72:F73" si="18">180*60</f>
        <v>10800</v>
      </c>
      <c r="G72" s="7" t="s">
        <v>26</v>
      </c>
      <c r="H72" s="75">
        <f>180*60</f>
        <v>10800</v>
      </c>
      <c r="I72" s="75" t="s">
        <v>26</v>
      </c>
      <c r="J72" s="76">
        <f>320/60</f>
        <v>5.333333333333333</v>
      </c>
      <c r="K72" s="75">
        <f>1200/60</f>
        <v>20</v>
      </c>
      <c r="L72" s="7" t="s">
        <v>29</v>
      </c>
      <c r="M72" s="7" t="s">
        <v>29</v>
      </c>
      <c r="N72" s="7" t="s">
        <v>29</v>
      </c>
      <c r="O72" s="7" t="s">
        <v>29</v>
      </c>
      <c r="P72" s="7" t="s">
        <v>256</v>
      </c>
      <c r="Q72" s="7" t="s">
        <v>257</v>
      </c>
      <c r="R72" s="8"/>
      <c r="S72" s="8">
        <f t="shared" si="15"/>
        <v>0.21111111111111111</v>
      </c>
      <c r="T72" s="8">
        <f t="shared" si="14"/>
        <v>2280</v>
      </c>
      <c r="U72" s="8"/>
      <c r="V72" s="8" t="e">
        <f t="shared" si="16"/>
        <v>#DIV/0!</v>
      </c>
      <c r="W72" s="8" t="e">
        <f t="shared" si="17"/>
        <v>#DIV/0!</v>
      </c>
      <c r="X72" s="8"/>
      <c r="Y72" s="8"/>
      <c r="Z72" s="8"/>
    </row>
    <row r="73" spans="1:26" ht="14.25" customHeight="1">
      <c r="A73" s="7">
        <v>56</v>
      </c>
      <c r="B73" s="7" t="s">
        <v>70</v>
      </c>
      <c r="C73" s="6" t="s">
        <v>254</v>
      </c>
      <c r="D73" s="6" t="s">
        <v>134</v>
      </c>
      <c r="E73" s="7" t="s">
        <v>29</v>
      </c>
      <c r="F73" s="7">
        <f t="shared" si="18"/>
        <v>10800</v>
      </c>
      <c r="G73" s="7" t="s">
        <v>26</v>
      </c>
      <c r="H73" s="75">
        <f>250*60</f>
        <v>15000</v>
      </c>
      <c r="I73" s="75" t="s">
        <v>26</v>
      </c>
      <c r="J73" s="76">
        <f>650/60</f>
        <v>10.833333333333334</v>
      </c>
      <c r="K73" s="76">
        <f>1250/60</f>
        <v>20.833333333333332</v>
      </c>
      <c r="L73" s="7" t="s">
        <v>29</v>
      </c>
      <c r="M73" s="7" t="s">
        <v>29</v>
      </c>
      <c r="N73" s="7" t="s">
        <v>29</v>
      </c>
      <c r="O73" s="7" t="s">
        <v>29</v>
      </c>
      <c r="P73" s="7" t="s">
        <v>51</v>
      </c>
      <c r="Q73" s="7" t="s">
        <v>258</v>
      </c>
      <c r="R73" s="8"/>
      <c r="S73" s="8">
        <f t="shared" si="15"/>
        <v>0.2638888888888889</v>
      </c>
      <c r="T73" s="8">
        <f t="shared" si="14"/>
        <v>3958.3333333333335</v>
      </c>
      <c r="U73" s="8"/>
      <c r="V73" s="8" t="e">
        <f t="shared" si="16"/>
        <v>#DIV/0!</v>
      </c>
      <c r="W73" s="8" t="e">
        <f t="shared" si="17"/>
        <v>#DIV/0!</v>
      </c>
      <c r="X73" s="8"/>
      <c r="Y73" s="8"/>
      <c r="Z73" s="8"/>
    </row>
    <row r="74" spans="1:26" ht="14.25" customHeight="1">
      <c r="A74" s="7">
        <v>56</v>
      </c>
      <c r="B74" s="7" t="s">
        <v>70</v>
      </c>
      <c r="C74" s="6" t="s">
        <v>259</v>
      </c>
      <c r="D74" s="6" t="s">
        <v>134</v>
      </c>
      <c r="E74" s="7" t="s">
        <v>29</v>
      </c>
      <c r="F74" s="7">
        <f>1438*60</f>
        <v>86280</v>
      </c>
      <c r="G74" s="7" t="s">
        <v>26</v>
      </c>
      <c r="H74" s="75">
        <f>1438*60</f>
        <v>86280</v>
      </c>
      <c r="I74" s="75" t="s">
        <v>26</v>
      </c>
      <c r="J74" s="75">
        <f>300/60</f>
        <v>5</v>
      </c>
      <c r="K74" s="75">
        <f>1200/60</f>
        <v>20</v>
      </c>
      <c r="L74" s="7" t="s">
        <v>29</v>
      </c>
      <c r="M74" s="7" t="s">
        <v>29</v>
      </c>
      <c r="N74" s="7" t="s">
        <v>29</v>
      </c>
      <c r="O74" s="7" t="s">
        <v>29</v>
      </c>
      <c r="P74" s="7" t="s">
        <v>51</v>
      </c>
      <c r="Q74" s="7" t="s">
        <v>260</v>
      </c>
      <c r="R74" s="8"/>
      <c r="S74" s="8">
        <f t="shared" si="15"/>
        <v>0.20833333333333334</v>
      </c>
      <c r="T74" s="8">
        <f t="shared" si="14"/>
        <v>17975</v>
      </c>
      <c r="U74" s="8"/>
      <c r="V74" s="8" t="e">
        <f t="shared" si="16"/>
        <v>#DIV/0!</v>
      </c>
      <c r="W74" s="8" t="e">
        <f t="shared" si="17"/>
        <v>#DIV/0!</v>
      </c>
      <c r="X74" s="8"/>
      <c r="Y74" s="8"/>
      <c r="Z74" s="8"/>
    </row>
    <row r="75" spans="1:26" ht="14.25" customHeight="1">
      <c r="A75" s="7">
        <v>56</v>
      </c>
      <c r="B75" s="7" t="s">
        <v>70</v>
      </c>
      <c r="C75" s="6" t="s">
        <v>261</v>
      </c>
      <c r="D75" s="6" t="s">
        <v>96</v>
      </c>
      <c r="E75" s="7" t="s">
        <v>29</v>
      </c>
      <c r="F75" s="7" t="s">
        <v>29</v>
      </c>
      <c r="G75" s="7" t="s">
        <v>29</v>
      </c>
      <c r="H75" s="75">
        <f>300*60</f>
        <v>18000</v>
      </c>
      <c r="I75" s="75" t="s">
        <v>26</v>
      </c>
      <c r="J75" s="76">
        <f>312.5/60</f>
        <v>5.208333333333333</v>
      </c>
      <c r="K75" s="75" t="s">
        <v>29</v>
      </c>
      <c r="L75" s="7" t="s">
        <v>29</v>
      </c>
      <c r="M75" s="7" t="s">
        <v>29</v>
      </c>
      <c r="N75" s="7" t="s">
        <v>29</v>
      </c>
      <c r="O75" s="7" t="s">
        <v>29</v>
      </c>
      <c r="P75" s="7" t="s">
        <v>226</v>
      </c>
      <c r="Q75" s="7" t="s">
        <v>262</v>
      </c>
      <c r="R75" s="8"/>
      <c r="S75" s="8">
        <f t="shared" si="15"/>
        <v>8.6805555555555552E-2</v>
      </c>
      <c r="T75" s="8">
        <f t="shared" si="14"/>
        <v>1562.5</v>
      </c>
      <c r="U75" s="8"/>
      <c r="V75" s="8" t="e">
        <f t="shared" si="16"/>
        <v>#DIV/0!</v>
      </c>
      <c r="W75" s="8" t="e">
        <f t="shared" si="17"/>
        <v>#DIV/0!</v>
      </c>
      <c r="X75" s="8"/>
      <c r="Y75" s="8"/>
      <c r="Z75" s="8"/>
    </row>
    <row r="76" spans="1:26" ht="14.25" customHeight="1">
      <c r="A76" s="7">
        <v>56</v>
      </c>
      <c r="B76" s="7" t="s">
        <v>70</v>
      </c>
      <c r="C76" s="6" t="s">
        <v>263</v>
      </c>
      <c r="D76" s="6" t="s">
        <v>134</v>
      </c>
      <c r="E76" s="7" t="s">
        <v>29</v>
      </c>
      <c r="F76" s="7">
        <f>800*60</f>
        <v>48000</v>
      </c>
      <c r="G76" s="7" t="s">
        <v>26</v>
      </c>
      <c r="H76" s="75">
        <f>1200*60</f>
        <v>72000</v>
      </c>
      <c r="I76" s="75" t="s">
        <v>26</v>
      </c>
      <c r="J76" s="75">
        <f>300/60</f>
        <v>5</v>
      </c>
      <c r="K76" s="75" t="s">
        <v>29</v>
      </c>
      <c r="L76" s="7" t="s">
        <v>29</v>
      </c>
      <c r="M76" s="7" t="s">
        <v>29</v>
      </c>
      <c r="N76" s="7" t="s">
        <v>29</v>
      </c>
      <c r="O76" s="7" t="s">
        <v>29</v>
      </c>
      <c r="P76" s="7" t="s">
        <v>178</v>
      </c>
      <c r="Q76" s="7" t="s">
        <v>220</v>
      </c>
      <c r="R76" s="8"/>
      <c r="S76" s="8">
        <f t="shared" si="15"/>
        <v>8.3333333333333329E-2</v>
      </c>
      <c r="T76" s="8">
        <f t="shared" si="14"/>
        <v>6000</v>
      </c>
      <c r="U76" s="8"/>
      <c r="V76" s="8" t="e">
        <f t="shared" si="16"/>
        <v>#DIV/0!</v>
      </c>
      <c r="W76" s="8" t="e">
        <f t="shared" si="17"/>
        <v>#DIV/0!</v>
      </c>
      <c r="X76" s="8"/>
      <c r="Y76" s="8"/>
      <c r="Z76" s="8"/>
    </row>
    <row r="77" spans="1:26" ht="14.25" customHeight="1">
      <c r="A77" s="7">
        <v>56</v>
      </c>
      <c r="B77" s="7" t="s">
        <v>72</v>
      </c>
      <c r="C77" s="7" t="s">
        <v>29</v>
      </c>
      <c r="D77" s="7" t="s">
        <v>29</v>
      </c>
      <c r="E77" s="7" t="s">
        <v>29</v>
      </c>
      <c r="F77" s="7" t="s">
        <v>29</v>
      </c>
      <c r="G77" s="7" t="s">
        <v>29</v>
      </c>
      <c r="H77" s="7" t="s">
        <v>29</v>
      </c>
      <c r="I77" s="7" t="s">
        <v>29</v>
      </c>
      <c r="J77" s="7" t="s">
        <v>29</v>
      </c>
      <c r="K77" s="7" t="s">
        <v>29</v>
      </c>
      <c r="L77" s="7" t="s">
        <v>29</v>
      </c>
      <c r="M77" s="7" t="s">
        <v>29</v>
      </c>
      <c r="N77" s="7" t="s">
        <v>29</v>
      </c>
      <c r="O77" s="7" t="s">
        <v>29</v>
      </c>
      <c r="P77" s="7" t="s">
        <v>29</v>
      </c>
      <c r="Q77" s="7" t="s">
        <v>29</v>
      </c>
      <c r="R77" s="8"/>
      <c r="S77" s="8"/>
      <c r="T77" s="8"/>
      <c r="U77" s="8"/>
      <c r="V77" s="8" t="e">
        <f t="shared" si="16"/>
        <v>#DIV/0!</v>
      </c>
      <c r="W77" s="8" t="e">
        <f t="shared" si="17"/>
        <v>#DIV/0!</v>
      </c>
      <c r="X77" s="8"/>
      <c r="Y77" s="8"/>
      <c r="Z77" s="8"/>
    </row>
    <row r="78" spans="1:26" ht="14.25" customHeight="1">
      <c r="A78" s="7">
        <v>57</v>
      </c>
      <c r="B78" s="7" t="s">
        <v>70</v>
      </c>
      <c r="C78" s="6" t="s">
        <v>264</v>
      </c>
      <c r="D78" s="7" t="s">
        <v>29</v>
      </c>
      <c r="E78" s="3" t="s">
        <v>120</v>
      </c>
      <c r="F78" s="7" t="s">
        <v>29</v>
      </c>
      <c r="G78" s="7" t="s">
        <v>29</v>
      </c>
      <c r="H78" s="7">
        <f>120*60</f>
        <v>7200</v>
      </c>
      <c r="I78" s="7" t="s">
        <v>26</v>
      </c>
      <c r="J78" s="7">
        <v>150</v>
      </c>
      <c r="K78" s="7">
        <v>350</v>
      </c>
      <c r="L78" s="7" t="s">
        <v>29</v>
      </c>
      <c r="M78" s="7" t="s">
        <v>29</v>
      </c>
      <c r="N78" s="7" t="s">
        <v>29</v>
      </c>
      <c r="O78" s="7" t="s">
        <v>29</v>
      </c>
      <c r="P78" s="7" t="s">
        <v>265</v>
      </c>
      <c r="Q78" s="6" t="s">
        <v>266</v>
      </c>
      <c r="R78" s="8"/>
      <c r="S78" s="8">
        <f t="shared" ref="S78:S83" si="19">(AVERAGE(J78:K78))/60</f>
        <v>4.166666666666667</v>
      </c>
      <c r="T78" s="8">
        <f t="shared" ref="T78:T100" si="20">S78*H78</f>
        <v>30000.000000000004</v>
      </c>
      <c r="U78" s="8"/>
      <c r="V78" s="8" t="e">
        <f t="shared" si="16"/>
        <v>#DIV/0!</v>
      </c>
      <c r="W78" s="8" t="e">
        <f t="shared" si="17"/>
        <v>#DIV/0!</v>
      </c>
      <c r="X78" s="8"/>
      <c r="Y78" s="8"/>
      <c r="Z78" s="8"/>
    </row>
    <row r="79" spans="1:26" ht="14.25" customHeight="1">
      <c r="A79" s="7">
        <v>57</v>
      </c>
      <c r="B79" s="7" t="s">
        <v>70</v>
      </c>
      <c r="C79" s="6" t="s">
        <v>252</v>
      </c>
      <c r="D79" s="7" t="s">
        <v>29</v>
      </c>
      <c r="E79" s="3" t="s">
        <v>120</v>
      </c>
      <c r="F79" s="7" t="s">
        <v>29</v>
      </c>
      <c r="G79" s="7" t="s">
        <v>29</v>
      </c>
      <c r="H79" s="14">
        <v>1200</v>
      </c>
      <c r="I79" s="14" t="s">
        <v>26</v>
      </c>
      <c r="J79" s="14">
        <v>650</v>
      </c>
      <c r="K79" s="14" t="s">
        <v>29</v>
      </c>
      <c r="L79" s="7" t="s">
        <v>29</v>
      </c>
      <c r="M79" s="7" t="s">
        <v>29</v>
      </c>
      <c r="N79" s="7" t="s">
        <v>29</v>
      </c>
      <c r="O79" s="7" t="s">
        <v>29</v>
      </c>
      <c r="P79" s="7" t="s">
        <v>265</v>
      </c>
      <c r="Q79" s="6" t="s">
        <v>267</v>
      </c>
      <c r="R79" s="8"/>
      <c r="S79" s="8">
        <f t="shared" si="19"/>
        <v>10.833333333333334</v>
      </c>
      <c r="T79" s="8">
        <f t="shared" si="20"/>
        <v>13000</v>
      </c>
      <c r="U79" s="8"/>
      <c r="V79" s="8" t="e">
        <f t="shared" si="16"/>
        <v>#DIV/0!</v>
      </c>
      <c r="W79" s="8" t="e">
        <f t="shared" si="17"/>
        <v>#DIV/0!</v>
      </c>
      <c r="X79" s="8"/>
      <c r="Y79" s="8"/>
      <c r="Z79" s="8"/>
    </row>
    <row r="80" spans="1:26" ht="14.25" customHeight="1">
      <c r="A80" s="7">
        <v>57</v>
      </c>
      <c r="B80" s="7" t="s">
        <v>70</v>
      </c>
      <c r="C80" s="6" t="s">
        <v>268</v>
      </c>
      <c r="D80" s="7" t="s">
        <v>29</v>
      </c>
      <c r="E80" s="3" t="s">
        <v>120</v>
      </c>
      <c r="F80" s="7" t="s">
        <v>29</v>
      </c>
      <c r="G80" s="7" t="s">
        <v>29</v>
      </c>
      <c r="H80" s="14">
        <v>1200</v>
      </c>
      <c r="I80" s="14" t="s">
        <v>26</v>
      </c>
      <c r="J80" s="14">
        <v>650</v>
      </c>
      <c r="K80" s="14" t="s">
        <v>29</v>
      </c>
      <c r="L80" s="7" t="s">
        <v>29</v>
      </c>
      <c r="M80" s="7" t="s">
        <v>29</v>
      </c>
      <c r="N80" s="7" t="s">
        <v>29</v>
      </c>
      <c r="O80" s="7" t="s">
        <v>29</v>
      </c>
      <c r="P80" s="7" t="s">
        <v>29</v>
      </c>
      <c r="Q80" s="6" t="s">
        <v>29</v>
      </c>
      <c r="R80" s="8"/>
      <c r="S80" s="8">
        <f t="shared" si="19"/>
        <v>10.833333333333334</v>
      </c>
      <c r="T80" s="8">
        <f t="shared" si="20"/>
        <v>13000</v>
      </c>
      <c r="U80" s="8"/>
      <c r="V80" s="8" t="e">
        <f t="shared" si="16"/>
        <v>#DIV/0!</v>
      </c>
      <c r="W80" s="8" t="e">
        <f t="shared" si="17"/>
        <v>#DIV/0!</v>
      </c>
      <c r="X80" s="8"/>
      <c r="Y80" s="8"/>
      <c r="Z80" s="8"/>
    </row>
    <row r="81" spans="1:26" ht="14.25" customHeight="1">
      <c r="A81" s="7">
        <v>57</v>
      </c>
      <c r="B81" s="7" t="s">
        <v>70</v>
      </c>
      <c r="C81" s="6" t="s">
        <v>269</v>
      </c>
      <c r="D81" s="7" t="s">
        <v>29</v>
      </c>
      <c r="E81" s="3" t="s">
        <v>120</v>
      </c>
      <c r="F81" s="7" t="s">
        <v>29</v>
      </c>
      <c r="G81" s="7" t="s">
        <v>29</v>
      </c>
      <c r="H81" s="14">
        <v>1200</v>
      </c>
      <c r="I81" s="14" t="s">
        <v>26</v>
      </c>
      <c r="J81" s="14">
        <v>650</v>
      </c>
      <c r="K81" s="14" t="s">
        <v>29</v>
      </c>
      <c r="L81" s="7" t="s">
        <v>29</v>
      </c>
      <c r="M81" s="7" t="s">
        <v>29</v>
      </c>
      <c r="N81" s="7" t="s">
        <v>29</v>
      </c>
      <c r="O81" s="7" t="s">
        <v>29</v>
      </c>
      <c r="P81" s="7" t="s">
        <v>29</v>
      </c>
      <c r="Q81" s="6" t="s">
        <v>29</v>
      </c>
      <c r="R81" s="8"/>
      <c r="S81" s="8">
        <f t="shared" si="19"/>
        <v>10.833333333333334</v>
      </c>
      <c r="T81" s="8">
        <f t="shared" si="20"/>
        <v>13000</v>
      </c>
      <c r="U81" s="8"/>
      <c r="V81" s="8" t="e">
        <f t="shared" si="16"/>
        <v>#DIV/0!</v>
      </c>
      <c r="W81" s="8" t="e">
        <f t="shared" si="17"/>
        <v>#DIV/0!</v>
      </c>
      <c r="X81" s="8"/>
      <c r="Y81" s="8"/>
      <c r="Z81" s="8"/>
    </row>
    <row r="82" spans="1:26" ht="14.25" customHeight="1">
      <c r="A82" s="7">
        <v>57</v>
      </c>
      <c r="B82" s="7" t="s">
        <v>70</v>
      </c>
      <c r="C82" s="6" t="s">
        <v>270</v>
      </c>
      <c r="D82" s="7" t="s">
        <v>29</v>
      </c>
      <c r="E82" s="3" t="s">
        <v>120</v>
      </c>
      <c r="F82" s="7" t="s">
        <v>29</v>
      </c>
      <c r="G82" s="7" t="s">
        <v>29</v>
      </c>
      <c r="H82" s="14">
        <v>1200</v>
      </c>
      <c r="I82" s="14" t="s">
        <v>26</v>
      </c>
      <c r="J82" s="14">
        <v>650</v>
      </c>
      <c r="K82" s="14" t="s">
        <v>29</v>
      </c>
      <c r="L82" s="7" t="s">
        <v>29</v>
      </c>
      <c r="M82" s="7" t="s">
        <v>29</v>
      </c>
      <c r="N82" s="7" t="s">
        <v>29</v>
      </c>
      <c r="O82" s="7" t="s">
        <v>29</v>
      </c>
      <c r="P82" s="7"/>
      <c r="Q82" s="6" t="s">
        <v>29</v>
      </c>
      <c r="R82" s="8"/>
      <c r="S82" s="8">
        <f t="shared" si="19"/>
        <v>10.833333333333334</v>
      </c>
      <c r="T82" s="8">
        <f t="shared" si="20"/>
        <v>13000</v>
      </c>
      <c r="U82" s="8"/>
      <c r="V82" s="8" t="e">
        <f t="shared" si="16"/>
        <v>#DIV/0!</v>
      </c>
      <c r="W82" s="8" t="e">
        <f t="shared" si="17"/>
        <v>#DIV/0!</v>
      </c>
      <c r="X82" s="8"/>
      <c r="Y82" s="8"/>
      <c r="Z82" s="8"/>
    </row>
    <row r="83" spans="1:26" ht="14.25" customHeight="1">
      <c r="A83" s="7">
        <v>58</v>
      </c>
      <c r="B83" s="7" t="s">
        <v>70</v>
      </c>
      <c r="C83" s="7" t="s">
        <v>271</v>
      </c>
      <c r="D83" s="7" t="s">
        <v>134</v>
      </c>
      <c r="E83" s="7" t="s">
        <v>125</v>
      </c>
      <c r="F83" s="7">
        <f>250*60</f>
        <v>15000</v>
      </c>
      <c r="G83" s="7" t="s">
        <v>26</v>
      </c>
      <c r="H83" s="7">
        <f>250*60</f>
        <v>15000</v>
      </c>
      <c r="I83" s="7" t="s">
        <v>26</v>
      </c>
      <c r="J83" s="7">
        <v>150</v>
      </c>
      <c r="K83" s="7">
        <v>300</v>
      </c>
      <c r="L83" s="7" t="s">
        <v>29</v>
      </c>
      <c r="M83" s="7" t="s">
        <v>29</v>
      </c>
      <c r="N83" s="7" t="s">
        <v>29</v>
      </c>
      <c r="O83" s="7" t="s">
        <v>29</v>
      </c>
      <c r="P83" s="7" t="s">
        <v>272</v>
      </c>
      <c r="Q83" s="7" t="s">
        <v>273</v>
      </c>
      <c r="R83" s="8"/>
      <c r="S83" s="8">
        <f t="shared" si="19"/>
        <v>3.75</v>
      </c>
      <c r="T83" s="8">
        <f t="shared" si="20"/>
        <v>56250</v>
      </c>
      <c r="U83" s="8"/>
      <c r="V83" s="8" t="e">
        <f t="shared" si="16"/>
        <v>#DIV/0!</v>
      </c>
      <c r="W83" s="8" t="e">
        <f t="shared" si="17"/>
        <v>#DIV/0!</v>
      </c>
      <c r="X83" s="8"/>
      <c r="Y83" s="8"/>
      <c r="Z83" s="8"/>
    </row>
    <row r="84" spans="1:26" ht="14.25" customHeight="1">
      <c r="A84" s="7">
        <v>58</v>
      </c>
      <c r="B84" s="7" t="s">
        <v>68</v>
      </c>
      <c r="C84" s="7" t="s">
        <v>29</v>
      </c>
      <c r="D84" s="7" t="s">
        <v>96</v>
      </c>
      <c r="E84" s="7" t="s">
        <v>125</v>
      </c>
      <c r="F84" s="7" t="s">
        <v>29</v>
      </c>
      <c r="G84" s="7" t="s">
        <v>29</v>
      </c>
      <c r="H84" s="7">
        <v>400</v>
      </c>
      <c r="I84" s="7" t="s">
        <v>26</v>
      </c>
      <c r="J84" s="7">
        <v>130</v>
      </c>
      <c r="K84" s="7">
        <v>130</v>
      </c>
      <c r="L84" s="7" t="s">
        <v>29</v>
      </c>
      <c r="M84" s="7" t="s">
        <v>29</v>
      </c>
      <c r="N84" s="7">
        <v>150</v>
      </c>
      <c r="O84" s="7">
        <v>170</v>
      </c>
      <c r="P84" s="7"/>
      <c r="Q84" s="7" t="s">
        <v>274</v>
      </c>
      <c r="R84" s="8"/>
      <c r="S84" s="8">
        <f>(AVERAGE(J84:K84))</f>
        <v>130</v>
      </c>
      <c r="T84" s="8">
        <f t="shared" si="20"/>
        <v>52000</v>
      </c>
      <c r="U84" s="8"/>
      <c r="V84" s="8">
        <f t="shared" si="16"/>
        <v>160</v>
      </c>
      <c r="W84" s="8" t="e">
        <f t="shared" si="17"/>
        <v>#VALUE!</v>
      </c>
      <c r="X84" s="8"/>
      <c r="Y84" s="8"/>
      <c r="Z84" s="8"/>
    </row>
    <row r="85" spans="1:26" ht="14.25" customHeight="1">
      <c r="A85" s="7">
        <v>58</v>
      </c>
      <c r="B85" s="7" t="s">
        <v>70</v>
      </c>
      <c r="C85" s="7" t="s">
        <v>275</v>
      </c>
      <c r="D85" s="7" t="s">
        <v>29</v>
      </c>
      <c r="E85" s="7" t="s">
        <v>29</v>
      </c>
      <c r="F85" s="7" t="s">
        <v>29</v>
      </c>
      <c r="G85" s="7" t="s">
        <v>29</v>
      </c>
      <c r="H85" s="7">
        <f>150*60</f>
        <v>9000</v>
      </c>
      <c r="I85" s="7" t="s">
        <v>26</v>
      </c>
      <c r="J85" s="7">
        <v>150</v>
      </c>
      <c r="K85" s="7" t="s">
        <v>29</v>
      </c>
      <c r="L85" s="7" t="s">
        <v>29</v>
      </c>
      <c r="M85" s="7" t="s">
        <v>29</v>
      </c>
      <c r="N85" s="7" t="s">
        <v>29</v>
      </c>
      <c r="O85" s="7" t="s">
        <v>29</v>
      </c>
      <c r="P85" s="7"/>
      <c r="Q85" s="6" t="s">
        <v>276</v>
      </c>
      <c r="R85" s="8"/>
      <c r="S85" s="8">
        <f t="shared" ref="S85:S100" si="21">(AVERAGE(J85:K85))/60</f>
        <v>2.5</v>
      </c>
      <c r="T85" s="8">
        <f t="shared" si="20"/>
        <v>22500</v>
      </c>
      <c r="U85" s="8"/>
      <c r="V85" s="8" t="e">
        <f t="shared" si="16"/>
        <v>#DIV/0!</v>
      </c>
      <c r="W85" s="8" t="e">
        <f t="shared" si="17"/>
        <v>#DIV/0!</v>
      </c>
      <c r="X85" s="8"/>
      <c r="Y85" s="8"/>
      <c r="Z85" s="8"/>
    </row>
    <row r="86" spans="1:26" ht="14.25" customHeight="1">
      <c r="A86" s="7">
        <v>59</v>
      </c>
      <c r="B86" s="7" t="s">
        <v>70</v>
      </c>
      <c r="C86" s="7" t="s">
        <v>277</v>
      </c>
      <c r="D86" s="7" t="s">
        <v>29</v>
      </c>
      <c r="E86" s="7" t="s">
        <v>29</v>
      </c>
      <c r="F86" s="7" t="s">
        <v>29</v>
      </c>
      <c r="G86" s="7" t="s">
        <v>29</v>
      </c>
      <c r="H86" s="7">
        <v>36000</v>
      </c>
      <c r="I86" s="7" t="s">
        <v>26</v>
      </c>
      <c r="J86" s="7">
        <v>300</v>
      </c>
      <c r="K86" s="7">
        <v>300</v>
      </c>
      <c r="L86" s="7" t="s">
        <v>29</v>
      </c>
      <c r="M86" s="7" t="s">
        <v>29</v>
      </c>
      <c r="N86" s="7" t="s">
        <v>29</v>
      </c>
      <c r="O86" s="7" t="s">
        <v>29</v>
      </c>
      <c r="P86" s="7" t="s">
        <v>278</v>
      </c>
      <c r="Q86" s="7" t="s">
        <v>279</v>
      </c>
      <c r="R86" s="8"/>
      <c r="S86" s="8">
        <f t="shared" si="21"/>
        <v>5</v>
      </c>
      <c r="T86" s="8">
        <f t="shared" si="20"/>
        <v>180000</v>
      </c>
      <c r="U86" s="8"/>
      <c r="V86" s="8" t="e">
        <f t="shared" si="16"/>
        <v>#DIV/0!</v>
      </c>
      <c r="W86" s="8" t="e">
        <f t="shared" si="17"/>
        <v>#DIV/0!</v>
      </c>
      <c r="X86" s="8"/>
      <c r="Y86" s="8"/>
      <c r="Z86" s="8"/>
    </row>
    <row r="87" spans="1:26" ht="14.25" customHeight="1">
      <c r="A87" s="7">
        <v>59</v>
      </c>
      <c r="B87" s="7" t="s">
        <v>70</v>
      </c>
      <c r="C87" s="7" t="s">
        <v>280</v>
      </c>
      <c r="D87" s="7" t="s">
        <v>29</v>
      </c>
      <c r="E87" s="7" t="s">
        <v>125</v>
      </c>
      <c r="F87" s="7" t="s">
        <v>29</v>
      </c>
      <c r="G87" s="7" t="s">
        <v>29</v>
      </c>
      <c r="H87" s="7">
        <v>30000</v>
      </c>
      <c r="I87" s="7" t="s">
        <v>26</v>
      </c>
      <c r="J87" s="7">
        <v>300</v>
      </c>
      <c r="K87" s="7">
        <v>300</v>
      </c>
      <c r="L87" s="7" t="s">
        <v>29</v>
      </c>
      <c r="M87" s="7" t="s">
        <v>29</v>
      </c>
      <c r="N87" s="7" t="s">
        <v>29</v>
      </c>
      <c r="O87" s="7" t="s">
        <v>29</v>
      </c>
      <c r="P87" s="7" t="s">
        <v>281</v>
      </c>
      <c r="Q87" s="7" t="s">
        <v>282</v>
      </c>
      <c r="R87" s="8"/>
      <c r="S87" s="8">
        <f t="shared" si="21"/>
        <v>5</v>
      </c>
      <c r="T87" s="8">
        <f t="shared" si="20"/>
        <v>150000</v>
      </c>
      <c r="U87" s="8"/>
      <c r="V87" s="8" t="e">
        <f t="shared" si="16"/>
        <v>#DIV/0!</v>
      </c>
      <c r="W87" s="8" t="e">
        <f t="shared" si="17"/>
        <v>#DIV/0!</v>
      </c>
      <c r="X87" s="8"/>
      <c r="Y87" s="8"/>
      <c r="Z87" s="8"/>
    </row>
    <row r="88" spans="1:26" ht="14.25" customHeight="1">
      <c r="A88" s="7">
        <v>59</v>
      </c>
      <c r="B88" s="7" t="s">
        <v>70</v>
      </c>
      <c r="C88" s="7" t="s">
        <v>283</v>
      </c>
      <c r="D88" s="7" t="s">
        <v>29</v>
      </c>
      <c r="E88" s="7" t="s">
        <v>125</v>
      </c>
      <c r="F88" s="7" t="s">
        <v>29</v>
      </c>
      <c r="G88" s="7" t="s">
        <v>29</v>
      </c>
      <c r="H88" s="7">
        <v>60000</v>
      </c>
      <c r="I88" s="7" t="s">
        <v>26</v>
      </c>
      <c r="J88" s="7">
        <v>300</v>
      </c>
      <c r="K88" s="7">
        <v>300</v>
      </c>
      <c r="L88" s="7" t="s">
        <v>29</v>
      </c>
      <c r="M88" s="7" t="s">
        <v>29</v>
      </c>
      <c r="N88" s="7" t="s">
        <v>29</v>
      </c>
      <c r="O88" s="7" t="s">
        <v>29</v>
      </c>
      <c r="P88" s="7" t="s">
        <v>284</v>
      </c>
      <c r="Q88" s="7" t="s">
        <v>285</v>
      </c>
      <c r="R88" s="8"/>
      <c r="S88" s="8">
        <f t="shared" si="21"/>
        <v>5</v>
      </c>
      <c r="T88" s="8">
        <f t="shared" si="20"/>
        <v>300000</v>
      </c>
      <c r="U88" s="8"/>
      <c r="V88" s="8" t="e">
        <f t="shared" si="16"/>
        <v>#DIV/0!</v>
      </c>
      <c r="W88" s="8" t="e">
        <f t="shared" si="17"/>
        <v>#DIV/0!</v>
      </c>
      <c r="X88" s="8"/>
      <c r="Y88" s="8"/>
      <c r="Z88" s="8"/>
    </row>
    <row r="89" spans="1:26" ht="14.25" customHeight="1">
      <c r="A89" s="7">
        <v>59</v>
      </c>
      <c r="B89" s="7" t="s">
        <v>70</v>
      </c>
      <c r="C89" s="7" t="s">
        <v>286</v>
      </c>
      <c r="D89" s="7" t="s">
        <v>29</v>
      </c>
      <c r="E89" s="7" t="s">
        <v>287</v>
      </c>
      <c r="F89" s="7" t="s">
        <v>29</v>
      </c>
      <c r="G89" s="7" t="s">
        <v>29</v>
      </c>
      <c r="H89" s="7">
        <v>36000</v>
      </c>
      <c r="I89" s="7" t="s">
        <v>26</v>
      </c>
      <c r="J89" s="7">
        <v>300</v>
      </c>
      <c r="K89" s="7">
        <v>300</v>
      </c>
      <c r="L89" s="7" t="s">
        <v>29</v>
      </c>
      <c r="M89" s="7" t="s">
        <v>29</v>
      </c>
      <c r="N89" s="7" t="s">
        <v>29</v>
      </c>
      <c r="O89" s="7" t="s">
        <v>29</v>
      </c>
      <c r="P89" s="7" t="s">
        <v>288</v>
      </c>
      <c r="Q89" s="7" t="s">
        <v>289</v>
      </c>
      <c r="R89" s="8"/>
      <c r="S89" s="8">
        <f t="shared" si="21"/>
        <v>5</v>
      </c>
      <c r="T89" s="8">
        <f t="shared" si="20"/>
        <v>180000</v>
      </c>
      <c r="U89" s="8"/>
      <c r="V89" s="8" t="e">
        <f t="shared" si="16"/>
        <v>#DIV/0!</v>
      </c>
      <c r="W89" s="8" t="e">
        <f t="shared" si="17"/>
        <v>#DIV/0!</v>
      </c>
      <c r="X89" s="8"/>
      <c r="Y89" s="8"/>
      <c r="Z89" s="8"/>
    </row>
    <row r="90" spans="1:26" ht="14.25" customHeight="1">
      <c r="A90" s="7">
        <v>59</v>
      </c>
      <c r="B90" s="7" t="s">
        <v>70</v>
      </c>
      <c r="C90" s="7" t="s">
        <v>286</v>
      </c>
      <c r="D90" s="7" t="s">
        <v>29</v>
      </c>
      <c r="E90" s="7" t="s">
        <v>287</v>
      </c>
      <c r="F90" s="7" t="s">
        <v>29</v>
      </c>
      <c r="G90" s="7" t="s">
        <v>29</v>
      </c>
      <c r="H90" s="7">
        <v>60000</v>
      </c>
      <c r="I90" s="7" t="s">
        <v>26</v>
      </c>
      <c r="J90" s="7">
        <v>320</v>
      </c>
      <c r="K90" s="7">
        <v>320</v>
      </c>
      <c r="L90" s="7" t="s">
        <v>29</v>
      </c>
      <c r="M90" s="7" t="s">
        <v>29</v>
      </c>
      <c r="N90" s="7" t="s">
        <v>29</v>
      </c>
      <c r="O90" s="7" t="s">
        <v>29</v>
      </c>
      <c r="P90" s="7" t="s">
        <v>288</v>
      </c>
      <c r="Q90" s="7" t="s">
        <v>290</v>
      </c>
      <c r="R90" s="8"/>
      <c r="S90" s="8">
        <f t="shared" si="21"/>
        <v>5.333333333333333</v>
      </c>
      <c r="T90" s="8">
        <f t="shared" si="20"/>
        <v>320000</v>
      </c>
      <c r="U90" s="8"/>
      <c r="V90" s="8" t="e">
        <f t="shared" si="16"/>
        <v>#DIV/0!</v>
      </c>
      <c r="W90" s="8" t="e">
        <f t="shared" si="17"/>
        <v>#DIV/0!</v>
      </c>
      <c r="X90" s="8"/>
      <c r="Y90" s="8"/>
      <c r="Z90" s="8"/>
    </row>
    <row r="91" spans="1:26" ht="14.25" customHeight="1">
      <c r="A91" s="7">
        <v>59</v>
      </c>
      <c r="B91" s="7" t="s">
        <v>70</v>
      </c>
      <c r="C91" s="7" t="s">
        <v>286</v>
      </c>
      <c r="D91" s="7" t="s">
        <v>29</v>
      </c>
      <c r="E91" s="7" t="s">
        <v>125</v>
      </c>
      <c r="F91" s="7" t="s">
        <v>29</v>
      </c>
      <c r="G91" s="7" t="s">
        <v>29</v>
      </c>
      <c r="H91" s="7">
        <v>120000</v>
      </c>
      <c r="I91" s="7" t="s">
        <v>26</v>
      </c>
      <c r="J91" s="7">
        <v>320</v>
      </c>
      <c r="K91" s="7">
        <v>320</v>
      </c>
      <c r="L91" s="7" t="s">
        <v>29</v>
      </c>
      <c r="M91" s="7" t="s">
        <v>29</v>
      </c>
      <c r="N91" s="7" t="s">
        <v>29</v>
      </c>
      <c r="O91" s="7" t="s">
        <v>29</v>
      </c>
      <c r="P91" s="7" t="s">
        <v>288</v>
      </c>
      <c r="Q91" s="7" t="s">
        <v>291</v>
      </c>
      <c r="R91" s="8"/>
      <c r="S91" s="8">
        <f t="shared" si="21"/>
        <v>5.333333333333333</v>
      </c>
      <c r="T91" s="8">
        <f t="shared" si="20"/>
        <v>640000</v>
      </c>
      <c r="U91" s="8"/>
      <c r="V91" s="8" t="e">
        <f t="shared" si="16"/>
        <v>#DIV/0!</v>
      </c>
      <c r="W91" s="8" t="e">
        <f t="shared" si="17"/>
        <v>#DIV/0!</v>
      </c>
      <c r="X91" s="8"/>
      <c r="Y91" s="8"/>
      <c r="Z91" s="8"/>
    </row>
    <row r="92" spans="1:26" ht="14.25" customHeight="1">
      <c r="A92" s="7">
        <v>59</v>
      </c>
      <c r="B92" s="7" t="s">
        <v>70</v>
      </c>
      <c r="C92" s="7" t="s">
        <v>292</v>
      </c>
      <c r="D92" s="7" t="s">
        <v>29</v>
      </c>
      <c r="E92" s="7" t="s">
        <v>287</v>
      </c>
      <c r="F92" s="7" t="s">
        <v>29</v>
      </c>
      <c r="G92" s="7" t="s">
        <v>29</v>
      </c>
      <c r="H92" s="7">
        <v>30000</v>
      </c>
      <c r="I92" s="7" t="s">
        <v>26</v>
      </c>
      <c r="J92" s="7">
        <v>320</v>
      </c>
      <c r="K92" s="7">
        <v>320</v>
      </c>
      <c r="L92" s="7" t="s">
        <v>29</v>
      </c>
      <c r="M92" s="7" t="s">
        <v>29</v>
      </c>
      <c r="N92" s="7" t="s">
        <v>29</v>
      </c>
      <c r="O92" s="7" t="s">
        <v>29</v>
      </c>
      <c r="P92" s="7" t="s">
        <v>152</v>
      </c>
      <c r="Q92" s="7" t="s">
        <v>293</v>
      </c>
      <c r="R92" s="8"/>
      <c r="S92" s="8">
        <f t="shared" si="21"/>
        <v>5.333333333333333</v>
      </c>
      <c r="T92" s="8">
        <f t="shared" si="20"/>
        <v>160000</v>
      </c>
      <c r="U92" s="8"/>
      <c r="V92" s="8" t="e">
        <f t="shared" si="16"/>
        <v>#DIV/0!</v>
      </c>
      <c r="W92" s="8" t="e">
        <f t="shared" si="17"/>
        <v>#DIV/0!</v>
      </c>
      <c r="X92" s="8"/>
      <c r="Y92" s="8"/>
      <c r="Z92" s="8"/>
    </row>
    <row r="93" spans="1:26" ht="14.25" customHeight="1">
      <c r="A93" s="7">
        <v>59</v>
      </c>
      <c r="B93" s="7" t="s">
        <v>70</v>
      </c>
      <c r="C93" s="7" t="s">
        <v>292</v>
      </c>
      <c r="D93" s="7" t="s">
        <v>29</v>
      </c>
      <c r="E93" s="7" t="s">
        <v>287</v>
      </c>
      <c r="F93" s="7" t="s">
        <v>29</v>
      </c>
      <c r="G93" s="7" t="s">
        <v>29</v>
      </c>
      <c r="H93" s="7">
        <v>24000</v>
      </c>
      <c r="I93" s="7" t="s">
        <v>26</v>
      </c>
      <c r="J93" s="7">
        <v>320</v>
      </c>
      <c r="K93" s="7">
        <v>320</v>
      </c>
      <c r="L93" s="7" t="s">
        <v>29</v>
      </c>
      <c r="M93" s="7" t="s">
        <v>29</v>
      </c>
      <c r="N93" s="7" t="s">
        <v>29</v>
      </c>
      <c r="O93" s="7" t="s">
        <v>29</v>
      </c>
      <c r="P93" s="7" t="s">
        <v>152</v>
      </c>
      <c r="Q93" s="7" t="s">
        <v>294</v>
      </c>
      <c r="R93" s="8"/>
      <c r="S93" s="8">
        <f t="shared" si="21"/>
        <v>5.333333333333333</v>
      </c>
      <c r="T93" s="8">
        <f t="shared" si="20"/>
        <v>128000</v>
      </c>
      <c r="U93" s="8"/>
      <c r="V93" s="8" t="e">
        <f t="shared" si="16"/>
        <v>#DIV/0!</v>
      </c>
      <c r="W93" s="8" t="e">
        <f t="shared" si="17"/>
        <v>#DIV/0!</v>
      </c>
      <c r="X93" s="8"/>
      <c r="Y93" s="8"/>
      <c r="Z93" s="8"/>
    </row>
    <row r="94" spans="1:26" ht="14.25" customHeight="1">
      <c r="A94" s="7">
        <v>59</v>
      </c>
      <c r="B94" s="7" t="s">
        <v>70</v>
      </c>
      <c r="C94" s="7" t="s">
        <v>295</v>
      </c>
      <c r="D94" s="7" t="s">
        <v>29</v>
      </c>
      <c r="E94" s="7" t="s">
        <v>29</v>
      </c>
      <c r="F94" s="7" t="s">
        <v>29</v>
      </c>
      <c r="G94" s="7" t="s">
        <v>29</v>
      </c>
      <c r="H94" s="7">
        <v>24000</v>
      </c>
      <c r="I94" s="7" t="s">
        <v>26</v>
      </c>
      <c r="J94" s="7">
        <v>300</v>
      </c>
      <c r="K94" s="7">
        <v>300</v>
      </c>
      <c r="L94" s="7" t="s">
        <v>29</v>
      </c>
      <c r="M94" s="7" t="s">
        <v>29</v>
      </c>
      <c r="N94" s="7" t="s">
        <v>29</v>
      </c>
      <c r="O94" s="7" t="s">
        <v>29</v>
      </c>
      <c r="P94" s="7" t="s">
        <v>296</v>
      </c>
      <c r="Q94" s="7" t="s">
        <v>297</v>
      </c>
      <c r="R94" s="8"/>
      <c r="S94" s="8">
        <f t="shared" si="21"/>
        <v>5</v>
      </c>
      <c r="T94" s="8">
        <f t="shared" si="20"/>
        <v>120000</v>
      </c>
      <c r="U94" s="8"/>
      <c r="V94" s="8" t="e">
        <f t="shared" si="16"/>
        <v>#DIV/0!</v>
      </c>
      <c r="W94" s="8" t="e">
        <f t="shared" si="17"/>
        <v>#DIV/0!</v>
      </c>
      <c r="X94" s="8"/>
      <c r="Y94" s="8"/>
      <c r="Z94" s="8"/>
    </row>
    <row r="95" spans="1:26" ht="14.25" customHeight="1">
      <c r="A95" s="7">
        <v>59</v>
      </c>
      <c r="B95" s="7" t="s">
        <v>70</v>
      </c>
      <c r="C95" s="7" t="s">
        <v>298</v>
      </c>
      <c r="D95" s="7" t="s">
        <v>29</v>
      </c>
      <c r="E95" s="7" t="s">
        <v>125</v>
      </c>
      <c r="F95" s="7" t="s">
        <v>29</v>
      </c>
      <c r="G95" s="7" t="s">
        <v>29</v>
      </c>
      <c r="H95" s="7">
        <v>180000</v>
      </c>
      <c r="I95" s="7" t="s">
        <v>26</v>
      </c>
      <c r="J95" s="7">
        <v>350</v>
      </c>
      <c r="K95" s="7">
        <v>350</v>
      </c>
      <c r="L95" s="7" t="s">
        <v>29</v>
      </c>
      <c r="M95" s="7" t="s">
        <v>29</v>
      </c>
      <c r="N95" s="7" t="s">
        <v>29</v>
      </c>
      <c r="O95" s="7" t="s">
        <v>29</v>
      </c>
      <c r="P95" s="7" t="s">
        <v>299</v>
      </c>
      <c r="Q95" s="7" t="s">
        <v>300</v>
      </c>
      <c r="R95" s="8"/>
      <c r="S95" s="8">
        <f t="shared" si="21"/>
        <v>5.833333333333333</v>
      </c>
      <c r="T95" s="8">
        <f t="shared" si="20"/>
        <v>1050000</v>
      </c>
      <c r="U95" s="8"/>
      <c r="V95" s="8" t="e">
        <f t="shared" si="16"/>
        <v>#DIV/0!</v>
      </c>
      <c r="W95" s="8" t="e">
        <f t="shared" si="17"/>
        <v>#DIV/0!</v>
      </c>
      <c r="X95" s="8"/>
      <c r="Y95" s="8"/>
      <c r="Z95" s="8"/>
    </row>
    <row r="96" spans="1:26" ht="14.25" customHeight="1">
      <c r="A96" s="7">
        <v>59</v>
      </c>
      <c r="B96" s="7" t="s">
        <v>70</v>
      </c>
      <c r="C96" s="7" t="s">
        <v>301</v>
      </c>
      <c r="D96" s="7" t="s">
        <v>29</v>
      </c>
      <c r="E96" s="7" t="s">
        <v>29</v>
      </c>
      <c r="F96" s="7" t="s">
        <v>29</v>
      </c>
      <c r="G96" s="7" t="s">
        <v>29</v>
      </c>
      <c r="H96" s="7">
        <v>300000</v>
      </c>
      <c r="I96" s="7" t="s">
        <v>26</v>
      </c>
      <c r="J96" s="7">
        <v>350</v>
      </c>
      <c r="K96" s="7">
        <v>350</v>
      </c>
      <c r="L96" s="7" t="s">
        <v>29</v>
      </c>
      <c r="M96" s="7" t="s">
        <v>29</v>
      </c>
      <c r="N96" s="7" t="s">
        <v>29</v>
      </c>
      <c r="O96" s="7" t="s">
        <v>29</v>
      </c>
      <c r="P96" s="7" t="s">
        <v>299</v>
      </c>
      <c r="Q96" s="7" t="s">
        <v>227</v>
      </c>
      <c r="R96" s="8"/>
      <c r="S96" s="8">
        <f t="shared" si="21"/>
        <v>5.833333333333333</v>
      </c>
      <c r="T96" s="8">
        <f t="shared" si="20"/>
        <v>1750000</v>
      </c>
      <c r="U96" s="8"/>
      <c r="V96" s="8" t="e">
        <f t="shared" si="16"/>
        <v>#DIV/0!</v>
      </c>
      <c r="W96" s="8" t="e">
        <f t="shared" si="17"/>
        <v>#DIV/0!</v>
      </c>
      <c r="X96" s="8"/>
      <c r="Y96" s="8"/>
      <c r="Z96" s="8"/>
    </row>
    <row r="97" spans="1:26" ht="14.25" customHeight="1">
      <c r="A97" s="7">
        <v>59</v>
      </c>
      <c r="B97" s="7" t="s">
        <v>70</v>
      </c>
      <c r="C97" s="7" t="s">
        <v>302</v>
      </c>
      <c r="D97" s="7" t="s">
        <v>29</v>
      </c>
      <c r="E97" s="7" t="s">
        <v>125</v>
      </c>
      <c r="F97" s="7" t="s">
        <v>29</v>
      </c>
      <c r="G97" s="7" t="s">
        <v>29</v>
      </c>
      <c r="H97" s="7">
        <v>18000</v>
      </c>
      <c r="I97" s="7" t="s">
        <v>26</v>
      </c>
      <c r="J97" s="7">
        <v>350</v>
      </c>
      <c r="K97" s="7">
        <v>350</v>
      </c>
      <c r="L97" s="7" t="s">
        <v>29</v>
      </c>
      <c r="M97" s="7" t="s">
        <v>29</v>
      </c>
      <c r="N97" s="7" t="s">
        <v>29</v>
      </c>
      <c r="O97" s="7" t="s">
        <v>29</v>
      </c>
      <c r="P97" s="7" t="s">
        <v>299</v>
      </c>
      <c r="Q97" s="7" t="s">
        <v>303</v>
      </c>
      <c r="R97" s="8"/>
      <c r="S97" s="8">
        <f t="shared" si="21"/>
        <v>5.833333333333333</v>
      </c>
      <c r="T97" s="8">
        <f t="shared" si="20"/>
        <v>105000</v>
      </c>
      <c r="U97" s="8"/>
      <c r="V97" s="8" t="e">
        <f t="shared" si="16"/>
        <v>#DIV/0!</v>
      </c>
      <c r="W97" s="8" t="e">
        <f t="shared" si="17"/>
        <v>#DIV/0!</v>
      </c>
      <c r="X97" s="8"/>
      <c r="Y97" s="8"/>
      <c r="Z97" s="8"/>
    </row>
    <row r="98" spans="1:26" ht="14.25" customHeight="1">
      <c r="A98" s="7">
        <v>59</v>
      </c>
      <c r="B98" s="7" t="s">
        <v>70</v>
      </c>
      <c r="C98" s="7" t="s">
        <v>304</v>
      </c>
      <c r="D98" s="7" t="s">
        <v>29</v>
      </c>
      <c r="E98" s="7" t="s">
        <v>29</v>
      </c>
      <c r="F98" s="7" t="s">
        <v>29</v>
      </c>
      <c r="G98" s="7" t="s">
        <v>29</v>
      </c>
      <c r="H98" s="7">
        <v>90000</v>
      </c>
      <c r="I98" s="7" t="s">
        <v>26</v>
      </c>
      <c r="J98" s="7">
        <v>350</v>
      </c>
      <c r="K98" s="7">
        <v>350</v>
      </c>
      <c r="L98" s="7" t="s">
        <v>29</v>
      </c>
      <c r="M98" s="7" t="s">
        <v>29</v>
      </c>
      <c r="N98" s="7" t="s">
        <v>29</v>
      </c>
      <c r="O98" s="7" t="s">
        <v>29</v>
      </c>
      <c r="P98" s="7" t="s">
        <v>299</v>
      </c>
      <c r="Q98" s="7" t="s">
        <v>305</v>
      </c>
      <c r="R98" s="8"/>
      <c r="S98" s="8">
        <f t="shared" si="21"/>
        <v>5.833333333333333</v>
      </c>
      <c r="T98" s="8">
        <f t="shared" si="20"/>
        <v>525000</v>
      </c>
      <c r="U98" s="8"/>
      <c r="V98" s="8" t="e">
        <f t="shared" si="16"/>
        <v>#DIV/0!</v>
      </c>
      <c r="W98" s="8" t="e">
        <f t="shared" si="17"/>
        <v>#DIV/0!</v>
      </c>
      <c r="X98" s="8"/>
      <c r="Y98" s="8"/>
      <c r="Z98" s="8"/>
    </row>
    <row r="99" spans="1:26" ht="14.25" customHeight="1">
      <c r="A99" s="7">
        <v>59</v>
      </c>
      <c r="B99" s="7" t="s">
        <v>70</v>
      </c>
      <c r="C99" s="7" t="s">
        <v>306</v>
      </c>
      <c r="D99" s="7" t="s">
        <v>29</v>
      </c>
      <c r="E99" s="7" t="s">
        <v>29</v>
      </c>
      <c r="F99" s="7" t="s">
        <v>29</v>
      </c>
      <c r="G99" s="7" t="s">
        <v>29</v>
      </c>
      <c r="H99" s="7">
        <v>120000</v>
      </c>
      <c r="I99" s="7" t="s">
        <v>26</v>
      </c>
      <c r="J99" s="7">
        <v>350</v>
      </c>
      <c r="K99" s="7">
        <v>350</v>
      </c>
      <c r="L99" s="7" t="s">
        <v>29</v>
      </c>
      <c r="M99" s="7" t="s">
        <v>29</v>
      </c>
      <c r="N99" s="7" t="s">
        <v>29</v>
      </c>
      <c r="O99" s="7" t="s">
        <v>29</v>
      </c>
      <c r="P99" s="7" t="s">
        <v>299</v>
      </c>
      <c r="Q99" s="7" t="s">
        <v>307</v>
      </c>
      <c r="R99" s="8"/>
      <c r="S99" s="8">
        <f t="shared" si="21"/>
        <v>5.833333333333333</v>
      </c>
      <c r="T99" s="8">
        <f t="shared" si="20"/>
        <v>700000</v>
      </c>
      <c r="U99" s="8"/>
      <c r="V99" s="8" t="e">
        <f t="shared" si="16"/>
        <v>#DIV/0!</v>
      </c>
      <c r="W99" s="8" t="e">
        <f t="shared" si="17"/>
        <v>#DIV/0!</v>
      </c>
      <c r="X99" s="8"/>
      <c r="Y99" s="8"/>
      <c r="Z99" s="8"/>
    </row>
    <row r="100" spans="1:26" ht="14.25" customHeight="1">
      <c r="A100" s="7">
        <v>59</v>
      </c>
      <c r="B100" s="7" t="s">
        <v>70</v>
      </c>
      <c r="C100" s="7" t="s">
        <v>308</v>
      </c>
      <c r="D100" s="7" t="s">
        <v>29</v>
      </c>
      <c r="E100" s="7" t="s">
        <v>29</v>
      </c>
      <c r="F100" s="7" t="s">
        <v>29</v>
      </c>
      <c r="G100" s="7" t="s">
        <v>29</v>
      </c>
      <c r="H100" s="7">
        <v>600000</v>
      </c>
      <c r="I100" s="7" t="s">
        <v>26</v>
      </c>
      <c r="J100" s="7">
        <v>380</v>
      </c>
      <c r="K100" s="7">
        <v>380</v>
      </c>
      <c r="L100" s="7" t="s">
        <v>29</v>
      </c>
      <c r="M100" s="7" t="s">
        <v>29</v>
      </c>
      <c r="N100" s="7" t="s">
        <v>29</v>
      </c>
      <c r="O100" s="7" t="s">
        <v>29</v>
      </c>
      <c r="P100" s="7" t="s">
        <v>29</v>
      </c>
      <c r="Q100" s="7" t="s">
        <v>309</v>
      </c>
      <c r="R100" s="8"/>
      <c r="S100" s="8">
        <f t="shared" si="21"/>
        <v>6.333333333333333</v>
      </c>
      <c r="T100" s="8">
        <f t="shared" si="20"/>
        <v>3800000</v>
      </c>
      <c r="U100" s="8"/>
      <c r="V100" s="8" t="e">
        <f t="shared" si="16"/>
        <v>#DIV/0!</v>
      </c>
      <c r="W100" s="8" t="e">
        <f t="shared" si="17"/>
        <v>#DIV/0!</v>
      </c>
      <c r="X100" s="8"/>
      <c r="Y100" s="8"/>
      <c r="Z100" s="8"/>
    </row>
    <row r="101" spans="1:26" s="66" customFormat="1" ht="14.25" customHeight="1">
      <c r="A101" s="60">
        <v>60</v>
      </c>
      <c r="B101" s="60" t="s">
        <v>70</v>
      </c>
      <c r="C101" s="60" t="s">
        <v>93</v>
      </c>
      <c r="D101" s="60" t="s">
        <v>29</v>
      </c>
      <c r="E101" s="60" t="s">
        <v>29</v>
      </c>
      <c r="F101" s="60" t="s">
        <v>29</v>
      </c>
      <c r="G101" s="102"/>
      <c r="H101" s="104">
        <f>250*60</f>
        <v>15000</v>
      </c>
      <c r="I101" s="104" t="s">
        <v>26</v>
      </c>
      <c r="J101" s="105">
        <f t="shared" ref="J101:K103" si="22">200/60</f>
        <v>3.3333333333333335</v>
      </c>
      <c r="K101" s="105">
        <f t="shared" si="22"/>
        <v>3.3333333333333335</v>
      </c>
      <c r="L101" s="60" t="s">
        <v>29</v>
      </c>
      <c r="M101" s="60" t="s">
        <v>29</v>
      </c>
      <c r="N101" s="60" t="s">
        <v>29</v>
      </c>
      <c r="O101" s="60" t="s">
        <v>29</v>
      </c>
      <c r="P101" s="60" t="s">
        <v>310</v>
      </c>
      <c r="Q101" s="103" t="s">
        <v>547</v>
      </c>
    </row>
    <row r="102" spans="1:26" s="66" customFormat="1" ht="14.25" customHeight="1">
      <c r="A102" s="60">
        <v>60</v>
      </c>
      <c r="B102" s="60" t="s">
        <v>70</v>
      </c>
      <c r="C102" s="60" t="s">
        <v>311</v>
      </c>
      <c r="D102" s="60" t="s">
        <v>29</v>
      </c>
      <c r="E102" s="60" t="s">
        <v>29</v>
      </c>
      <c r="F102" s="60" t="s">
        <v>29</v>
      </c>
      <c r="G102" s="60" t="s">
        <v>29</v>
      </c>
      <c r="H102" s="104">
        <f>80*60</f>
        <v>4800</v>
      </c>
      <c r="I102" s="104" t="s">
        <v>26</v>
      </c>
      <c r="J102" s="105">
        <f t="shared" si="22"/>
        <v>3.3333333333333335</v>
      </c>
      <c r="K102" s="105">
        <f t="shared" si="22"/>
        <v>3.3333333333333335</v>
      </c>
      <c r="L102" s="60" t="s">
        <v>29</v>
      </c>
      <c r="M102" s="60" t="s">
        <v>29</v>
      </c>
      <c r="N102" s="60" t="s">
        <v>29</v>
      </c>
      <c r="O102" s="60" t="s">
        <v>29</v>
      </c>
      <c r="P102" s="60" t="s">
        <v>310</v>
      </c>
      <c r="Q102" s="103" t="s">
        <v>548</v>
      </c>
    </row>
    <row r="103" spans="1:26" s="66" customFormat="1" ht="14.25" customHeight="1">
      <c r="A103" s="60">
        <v>60</v>
      </c>
      <c r="B103" s="60" t="s">
        <v>70</v>
      </c>
      <c r="C103" s="60" t="s">
        <v>29</v>
      </c>
      <c r="D103" s="60" t="s">
        <v>29</v>
      </c>
      <c r="E103" s="60" t="s">
        <v>29</v>
      </c>
      <c r="F103" s="60" t="s">
        <v>29</v>
      </c>
      <c r="G103" s="60" t="s">
        <v>29</v>
      </c>
      <c r="H103" s="104">
        <f>6*60</f>
        <v>360</v>
      </c>
      <c r="I103" s="104" t="s">
        <v>26</v>
      </c>
      <c r="J103" s="105">
        <f t="shared" si="22"/>
        <v>3.3333333333333335</v>
      </c>
      <c r="K103" s="105">
        <f t="shared" si="22"/>
        <v>3.3333333333333335</v>
      </c>
      <c r="L103" s="60" t="s">
        <v>29</v>
      </c>
      <c r="M103" s="60" t="s">
        <v>29</v>
      </c>
      <c r="N103" s="60" t="s">
        <v>29</v>
      </c>
      <c r="O103" s="60" t="s">
        <v>29</v>
      </c>
      <c r="P103" s="60" t="s">
        <v>310</v>
      </c>
      <c r="Q103" s="60" t="s">
        <v>312</v>
      </c>
    </row>
    <row r="104" spans="1:26" s="66" customFormat="1" ht="14.25" customHeight="1">
      <c r="A104" s="60">
        <v>60</v>
      </c>
      <c r="B104" s="60" t="s">
        <v>70</v>
      </c>
      <c r="C104" s="60" t="s">
        <v>29</v>
      </c>
      <c r="D104" s="60" t="s">
        <v>29</v>
      </c>
      <c r="E104" s="60" t="s">
        <v>29</v>
      </c>
      <c r="F104" s="60" t="s">
        <v>29</v>
      </c>
      <c r="G104" s="60" t="s">
        <v>29</v>
      </c>
      <c r="H104" s="104">
        <f>900*60</f>
        <v>54000</v>
      </c>
      <c r="I104" s="104" t="s">
        <v>26</v>
      </c>
      <c r="J104" s="105">
        <f t="shared" ref="J104:K106" si="23">200/60</f>
        <v>3.3333333333333335</v>
      </c>
      <c r="K104" s="105">
        <f t="shared" si="23"/>
        <v>3.3333333333333335</v>
      </c>
      <c r="L104" s="60" t="s">
        <v>29</v>
      </c>
      <c r="M104" s="60" t="s">
        <v>29</v>
      </c>
      <c r="N104" s="60" t="s">
        <v>29</v>
      </c>
      <c r="O104" s="60" t="s">
        <v>29</v>
      </c>
      <c r="P104" s="60" t="s">
        <v>310</v>
      </c>
      <c r="Q104" s="60" t="s">
        <v>313</v>
      </c>
    </row>
    <row r="105" spans="1:26" s="66" customFormat="1" ht="14.25" customHeight="1">
      <c r="A105" s="60">
        <v>60</v>
      </c>
      <c r="B105" s="60" t="s">
        <v>70</v>
      </c>
      <c r="C105" s="60" t="s">
        <v>29</v>
      </c>
      <c r="D105" s="60" t="s">
        <v>29</v>
      </c>
      <c r="E105" s="60" t="s">
        <v>29</v>
      </c>
      <c r="F105" s="60" t="s">
        <v>29</v>
      </c>
      <c r="G105" s="60" t="s">
        <v>29</v>
      </c>
      <c r="H105" s="104">
        <f>44*60</f>
        <v>2640</v>
      </c>
      <c r="I105" s="104" t="s">
        <v>26</v>
      </c>
      <c r="J105" s="105">
        <f>200/60</f>
        <v>3.3333333333333335</v>
      </c>
      <c r="K105" s="105">
        <f t="shared" si="23"/>
        <v>3.3333333333333335</v>
      </c>
      <c r="L105" s="60" t="s">
        <v>29</v>
      </c>
      <c r="M105" s="60" t="s">
        <v>29</v>
      </c>
      <c r="N105" s="60" t="s">
        <v>29</v>
      </c>
      <c r="O105" s="60" t="s">
        <v>29</v>
      </c>
      <c r="P105" s="60" t="s">
        <v>310</v>
      </c>
      <c r="Q105" s="60" t="s">
        <v>314</v>
      </c>
    </row>
    <row r="106" spans="1:26" s="66" customFormat="1" ht="14.25" customHeight="1">
      <c r="A106" s="60">
        <v>60</v>
      </c>
      <c r="B106" s="60" t="s">
        <v>70</v>
      </c>
      <c r="C106" s="60" t="s">
        <v>29</v>
      </c>
      <c r="D106" s="60" t="s">
        <v>29</v>
      </c>
      <c r="E106" s="60" t="s">
        <v>29</v>
      </c>
      <c r="F106" s="60" t="s">
        <v>29</v>
      </c>
      <c r="G106" s="60" t="s">
        <v>29</v>
      </c>
      <c r="H106" s="104">
        <f>220*60</f>
        <v>13200</v>
      </c>
      <c r="I106" s="104" t="s">
        <v>26</v>
      </c>
      <c r="J106" s="105">
        <f t="shared" si="23"/>
        <v>3.3333333333333335</v>
      </c>
      <c r="K106" s="105">
        <f t="shared" si="23"/>
        <v>3.3333333333333335</v>
      </c>
      <c r="L106" s="60" t="s">
        <v>29</v>
      </c>
      <c r="M106" s="60" t="s">
        <v>29</v>
      </c>
      <c r="N106" s="60" t="s">
        <v>29</v>
      </c>
      <c r="O106" s="60" t="s">
        <v>29</v>
      </c>
      <c r="P106" s="60" t="s">
        <v>310</v>
      </c>
      <c r="Q106" s="60" t="s">
        <v>315</v>
      </c>
    </row>
    <row r="107" spans="1:26" s="66" customFormat="1" ht="14.25" customHeight="1">
      <c r="A107" s="60">
        <v>60</v>
      </c>
      <c r="B107" s="60" t="s">
        <v>316</v>
      </c>
      <c r="C107" s="60" t="s">
        <v>29</v>
      </c>
      <c r="D107" s="60" t="s">
        <v>29</v>
      </c>
      <c r="E107" s="60" t="s">
        <v>29</v>
      </c>
      <c r="F107" s="60" t="s">
        <v>29</v>
      </c>
      <c r="G107" s="60" t="s">
        <v>29</v>
      </c>
      <c r="H107" s="60">
        <v>1300</v>
      </c>
      <c r="I107" s="60" t="s">
        <v>26</v>
      </c>
      <c r="J107" s="60">
        <v>25</v>
      </c>
      <c r="K107" s="60">
        <v>80</v>
      </c>
      <c r="L107" s="60" t="s">
        <v>29</v>
      </c>
      <c r="M107" s="60" t="s">
        <v>29</v>
      </c>
      <c r="N107" s="60" t="s">
        <v>29</v>
      </c>
      <c r="O107" s="60" t="s">
        <v>29</v>
      </c>
      <c r="P107" s="60" t="s">
        <v>310</v>
      </c>
      <c r="Q107" s="60" t="s">
        <v>314</v>
      </c>
    </row>
    <row r="108" spans="1:26" s="66" customFormat="1" ht="14.25" customHeight="1">
      <c r="A108" s="60">
        <v>60</v>
      </c>
      <c r="B108" s="60" t="s">
        <v>316</v>
      </c>
      <c r="C108" s="60" t="s">
        <v>29</v>
      </c>
      <c r="D108" s="103" t="s">
        <v>550</v>
      </c>
      <c r="E108" s="60" t="s">
        <v>29</v>
      </c>
      <c r="F108" s="60">
        <v>400</v>
      </c>
      <c r="G108" s="103" t="s">
        <v>26</v>
      </c>
      <c r="H108" s="60">
        <v>1300</v>
      </c>
      <c r="I108" s="60" t="s">
        <v>26</v>
      </c>
      <c r="J108" s="60">
        <v>25</v>
      </c>
      <c r="K108" s="60">
        <v>80</v>
      </c>
      <c r="L108" s="60" t="s">
        <v>29</v>
      </c>
      <c r="M108" s="60" t="s">
        <v>29</v>
      </c>
      <c r="N108" s="60" t="s">
        <v>29</v>
      </c>
      <c r="O108" s="60" t="s">
        <v>29</v>
      </c>
      <c r="P108" s="60" t="s">
        <v>310</v>
      </c>
      <c r="Q108" s="60" t="s">
        <v>313</v>
      </c>
    </row>
    <row r="109" spans="1:26" s="66" customFormat="1" ht="14.25" customHeight="1">
      <c r="A109" s="60">
        <v>60</v>
      </c>
      <c r="B109" s="60" t="s">
        <v>70</v>
      </c>
      <c r="C109" s="60" t="s">
        <v>145</v>
      </c>
      <c r="D109" s="60" t="s">
        <v>317</v>
      </c>
      <c r="E109" s="60" t="s">
        <v>29</v>
      </c>
      <c r="F109" s="60">
        <v>100</v>
      </c>
      <c r="G109" s="60" t="s">
        <v>26</v>
      </c>
      <c r="H109" s="104" t="s">
        <v>29</v>
      </c>
      <c r="I109" s="104" t="s">
        <v>29</v>
      </c>
      <c r="J109" s="16">
        <f>200/60</f>
        <v>3.3333333333333335</v>
      </c>
      <c r="K109" s="16">
        <f>200/60</f>
        <v>3.3333333333333335</v>
      </c>
      <c r="L109" s="60" t="s">
        <v>29</v>
      </c>
      <c r="M109" s="60" t="s">
        <v>29</v>
      </c>
      <c r="N109" s="60" t="s">
        <v>29</v>
      </c>
      <c r="O109" s="60" t="s">
        <v>29</v>
      </c>
      <c r="P109" s="60" t="s">
        <v>310</v>
      </c>
      <c r="Q109" s="60" t="s">
        <v>29</v>
      </c>
    </row>
    <row r="110" spans="1:26" s="66" customFormat="1" ht="14.25" customHeight="1">
      <c r="A110" s="60">
        <v>61</v>
      </c>
      <c r="B110" s="60" t="s">
        <v>94</v>
      </c>
      <c r="C110" s="60" t="s">
        <v>93</v>
      </c>
      <c r="D110" s="60" t="s">
        <v>318</v>
      </c>
      <c r="E110" s="60" t="s">
        <v>29</v>
      </c>
      <c r="F110" s="60" t="s">
        <v>29</v>
      </c>
      <c r="G110" s="60" t="s">
        <v>29</v>
      </c>
      <c r="H110" s="60">
        <v>40</v>
      </c>
      <c r="I110" s="103" t="s">
        <v>507</v>
      </c>
      <c r="J110" s="60">
        <v>45</v>
      </c>
      <c r="K110" s="60">
        <v>70</v>
      </c>
      <c r="L110" s="60" t="s">
        <v>29</v>
      </c>
      <c r="M110" s="60" t="s">
        <v>29</v>
      </c>
      <c r="N110" s="60" t="s">
        <v>29</v>
      </c>
      <c r="O110" s="60" t="s">
        <v>29</v>
      </c>
      <c r="P110" s="60" t="s">
        <v>319</v>
      </c>
      <c r="Q110" s="60" t="s">
        <v>320</v>
      </c>
    </row>
    <row r="111" spans="1:26" s="66" customFormat="1" ht="14.25" customHeight="1">
      <c r="A111" s="60">
        <v>61</v>
      </c>
      <c r="B111" s="60" t="s">
        <v>94</v>
      </c>
      <c r="C111" s="60" t="s">
        <v>93</v>
      </c>
      <c r="D111" s="60" t="s">
        <v>318</v>
      </c>
      <c r="E111" s="60" t="s">
        <v>29</v>
      </c>
      <c r="F111" s="60" t="s">
        <v>29</v>
      </c>
      <c r="G111" s="60" t="s">
        <v>29</v>
      </c>
      <c r="H111" s="60">
        <v>100</v>
      </c>
      <c r="I111" s="103" t="s">
        <v>507</v>
      </c>
      <c r="J111" s="60">
        <v>45</v>
      </c>
      <c r="K111" s="60">
        <v>70</v>
      </c>
      <c r="L111" s="60" t="s">
        <v>29</v>
      </c>
      <c r="M111" s="60" t="s">
        <v>29</v>
      </c>
      <c r="N111" s="60" t="s">
        <v>29</v>
      </c>
      <c r="O111" s="60" t="s">
        <v>29</v>
      </c>
      <c r="P111" s="60" t="s">
        <v>319</v>
      </c>
      <c r="Q111" s="60" t="s">
        <v>321</v>
      </c>
    </row>
    <row r="112" spans="1:26" s="66" customFormat="1" ht="14.25" customHeight="1">
      <c r="A112" s="60">
        <v>61</v>
      </c>
      <c r="B112" s="60" t="s">
        <v>94</v>
      </c>
      <c r="C112" s="60" t="s">
        <v>93</v>
      </c>
      <c r="D112" s="60" t="s">
        <v>318</v>
      </c>
      <c r="E112" s="60" t="s">
        <v>29</v>
      </c>
      <c r="F112" s="60" t="s">
        <v>29</v>
      </c>
      <c r="G112" s="60" t="s">
        <v>29</v>
      </c>
      <c r="H112" s="60">
        <v>80</v>
      </c>
      <c r="I112" s="103" t="s">
        <v>507</v>
      </c>
      <c r="J112" s="60">
        <v>45</v>
      </c>
      <c r="K112" s="60">
        <v>70</v>
      </c>
      <c r="L112" s="60" t="s">
        <v>29</v>
      </c>
      <c r="M112" s="60" t="s">
        <v>29</v>
      </c>
      <c r="N112" s="60" t="s">
        <v>29</v>
      </c>
      <c r="O112" s="60" t="s">
        <v>29</v>
      </c>
      <c r="P112" s="60" t="s">
        <v>319</v>
      </c>
      <c r="Q112" s="60" t="s">
        <v>322</v>
      </c>
    </row>
    <row r="113" spans="1:17" s="66" customFormat="1" ht="14.25" customHeight="1">
      <c r="A113" s="60">
        <v>61</v>
      </c>
      <c r="B113" s="60" t="s">
        <v>94</v>
      </c>
      <c r="C113" s="60" t="s">
        <v>323</v>
      </c>
      <c r="D113" s="60" t="s">
        <v>318</v>
      </c>
      <c r="E113" s="60" t="s">
        <v>29</v>
      </c>
      <c r="F113" s="60" t="s">
        <v>29</v>
      </c>
      <c r="G113" s="60" t="s">
        <v>29</v>
      </c>
      <c r="H113" s="60">
        <v>80</v>
      </c>
      <c r="I113" s="103" t="s">
        <v>507</v>
      </c>
      <c r="J113" s="60">
        <v>45</v>
      </c>
      <c r="K113" s="60">
        <v>70</v>
      </c>
      <c r="L113" s="60" t="s">
        <v>29</v>
      </c>
      <c r="M113" s="60" t="s">
        <v>29</v>
      </c>
      <c r="N113" s="60" t="s">
        <v>29</v>
      </c>
      <c r="O113" s="60" t="s">
        <v>29</v>
      </c>
      <c r="P113" s="60" t="s">
        <v>319</v>
      </c>
      <c r="Q113" s="60" t="s">
        <v>324</v>
      </c>
    </row>
    <row r="114" spans="1:17" s="66" customFormat="1" ht="14.25" customHeight="1">
      <c r="A114" s="60">
        <v>61</v>
      </c>
      <c r="B114" s="60" t="s">
        <v>94</v>
      </c>
      <c r="C114" s="60" t="s">
        <v>325</v>
      </c>
      <c r="D114" s="60" t="s">
        <v>318</v>
      </c>
      <c r="E114" s="60" t="s">
        <v>29</v>
      </c>
      <c r="F114" s="60" t="s">
        <v>29</v>
      </c>
      <c r="G114" s="60" t="s">
        <v>29</v>
      </c>
      <c r="H114" s="60">
        <v>200</v>
      </c>
      <c r="I114" s="103" t="s">
        <v>507</v>
      </c>
      <c r="J114" s="60">
        <v>45</v>
      </c>
      <c r="K114" s="60">
        <v>70</v>
      </c>
      <c r="L114" s="60" t="s">
        <v>29</v>
      </c>
      <c r="M114" s="60" t="s">
        <v>29</v>
      </c>
      <c r="N114" s="60" t="s">
        <v>29</v>
      </c>
      <c r="O114" s="60" t="s">
        <v>29</v>
      </c>
      <c r="P114" s="60" t="s">
        <v>319</v>
      </c>
      <c r="Q114" s="60" t="s">
        <v>326</v>
      </c>
    </row>
    <row r="115" spans="1:17" s="66" customFormat="1" ht="14.25" customHeight="1">
      <c r="A115" s="60">
        <v>61</v>
      </c>
      <c r="B115" s="60" t="s">
        <v>94</v>
      </c>
      <c r="C115" s="60" t="s">
        <v>29</v>
      </c>
      <c r="D115" s="60" t="s">
        <v>318</v>
      </c>
      <c r="E115" s="60" t="s">
        <v>29</v>
      </c>
      <c r="F115" s="60" t="s">
        <v>29</v>
      </c>
      <c r="G115" s="60" t="s">
        <v>29</v>
      </c>
      <c r="H115" s="60">
        <v>20</v>
      </c>
      <c r="I115" s="103" t="s">
        <v>507</v>
      </c>
      <c r="J115" s="60">
        <v>45</v>
      </c>
      <c r="K115" s="60">
        <v>70</v>
      </c>
      <c r="L115" s="60" t="s">
        <v>29</v>
      </c>
      <c r="M115" s="60" t="s">
        <v>29</v>
      </c>
      <c r="N115" s="60" t="s">
        <v>29</v>
      </c>
      <c r="O115" s="60" t="s">
        <v>29</v>
      </c>
      <c r="P115" s="60" t="s">
        <v>319</v>
      </c>
      <c r="Q115" s="60" t="s">
        <v>327</v>
      </c>
    </row>
    <row r="116" spans="1:17" s="66" customFormat="1" ht="13.8" customHeight="1">
      <c r="A116" s="60">
        <v>61</v>
      </c>
      <c r="B116" s="60" t="s">
        <v>94</v>
      </c>
      <c r="C116" s="60" t="s">
        <v>93</v>
      </c>
      <c r="D116" s="60" t="s">
        <v>318</v>
      </c>
      <c r="E116" s="60" t="s">
        <v>29</v>
      </c>
      <c r="F116" s="60" t="s">
        <v>29</v>
      </c>
      <c r="G116" s="60" t="s">
        <v>29</v>
      </c>
      <c r="H116" s="60">
        <v>30</v>
      </c>
      <c r="I116" s="103" t="s">
        <v>507</v>
      </c>
      <c r="J116" s="60">
        <v>45</v>
      </c>
      <c r="K116" s="60">
        <v>70</v>
      </c>
      <c r="L116" s="60" t="s">
        <v>29</v>
      </c>
      <c r="M116" s="60" t="s">
        <v>29</v>
      </c>
      <c r="N116" s="60" t="s">
        <v>29</v>
      </c>
      <c r="O116" s="60" t="s">
        <v>29</v>
      </c>
      <c r="P116" s="60" t="s">
        <v>319</v>
      </c>
      <c r="Q116" s="60" t="s">
        <v>328</v>
      </c>
    </row>
    <row r="117" spans="1:17" s="66" customFormat="1" ht="13.8" customHeight="1">
      <c r="A117" s="60">
        <v>61</v>
      </c>
      <c r="B117" s="60" t="s">
        <v>94</v>
      </c>
      <c r="C117" s="60" t="s">
        <v>93</v>
      </c>
      <c r="D117" s="60" t="s">
        <v>318</v>
      </c>
      <c r="E117" s="60" t="s">
        <v>29</v>
      </c>
      <c r="F117" s="60" t="s">
        <v>29</v>
      </c>
      <c r="G117" s="60" t="s">
        <v>29</v>
      </c>
      <c r="H117" s="60">
        <v>80</v>
      </c>
      <c r="I117" s="103" t="s">
        <v>507</v>
      </c>
      <c r="J117" s="60">
        <v>45</v>
      </c>
      <c r="K117" s="60">
        <v>70</v>
      </c>
      <c r="L117" s="60" t="s">
        <v>29</v>
      </c>
      <c r="M117" s="60" t="s">
        <v>29</v>
      </c>
      <c r="N117" s="60" t="s">
        <v>29</v>
      </c>
      <c r="O117" s="60" t="s">
        <v>29</v>
      </c>
      <c r="P117" s="60" t="s">
        <v>319</v>
      </c>
      <c r="Q117" s="60" t="s">
        <v>329</v>
      </c>
    </row>
    <row r="118" spans="1:17" s="66" customFormat="1" ht="14.25" customHeight="1">
      <c r="A118" s="60">
        <v>61</v>
      </c>
      <c r="B118" s="60" t="s">
        <v>94</v>
      </c>
      <c r="C118" s="60" t="s">
        <v>323</v>
      </c>
      <c r="D118" s="60" t="s">
        <v>318</v>
      </c>
      <c r="E118" s="60" t="s">
        <v>29</v>
      </c>
      <c r="F118" s="60" t="s">
        <v>29</v>
      </c>
      <c r="G118" s="60" t="s">
        <v>29</v>
      </c>
      <c r="H118" s="60">
        <v>20</v>
      </c>
      <c r="I118" s="103" t="s">
        <v>507</v>
      </c>
      <c r="J118" s="60">
        <v>45</v>
      </c>
      <c r="K118" s="60">
        <v>70</v>
      </c>
      <c r="L118" s="60" t="s">
        <v>29</v>
      </c>
      <c r="M118" s="60" t="s">
        <v>29</v>
      </c>
      <c r="N118" s="60" t="s">
        <v>29</v>
      </c>
      <c r="O118" s="60" t="s">
        <v>29</v>
      </c>
      <c r="P118" s="60" t="s">
        <v>319</v>
      </c>
      <c r="Q118" s="60" t="s">
        <v>330</v>
      </c>
    </row>
    <row r="119" spans="1:17" s="66" customFormat="1" ht="14.25" customHeight="1">
      <c r="A119" s="60">
        <v>61</v>
      </c>
      <c r="B119" s="60" t="s">
        <v>94</v>
      </c>
      <c r="C119" s="60" t="s">
        <v>331</v>
      </c>
      <c r="D119" s="60" t="s">
        <v>318</v>
      </c>
      <c r="E119" s="60" t="s">
        <v>29</v>
      </c>
      <c r="F119" s="60" t="s">
        <v>29</v>
      </c>
      <c r="G119" s="60" t="s">
        <v>29</v>
      </c>
      <c r="H119" s="60">
        <v>20</v>
      </c>
      <c r="I119" s="103" t="s">
        <v>507</v>
      </c>
      <c r="J119" s="60">
        <v>45</v>
      </c>
      <c r="K119" s="60">
        <v>70</v>
      </c>
      <c r="L119" s="60" t="s">
        <v>29</v>
      </c>
      <c r="M119" s="60" t="s">
        <v>29</v>
      </c>
      <c r="N119" s="60" t="s">
        <v>29</v>
      </c>
      <c r="O119" s="60" t="s">
        <v>29</v>
      </c>
      <c r="P119" s="60" t="s">
        <v>319</v>
      </c>
      <c r="Q119" s="60" t="s">
        <v>332</v>
      </c>
    </row>
    <row r="120" spans="1:17" s="66" customFormat="1" ht="14.25" customHeight="1">
      <c r="A120" s="60">
        <v>61</v>
      </c>
      <c r="B120" s="60" t="s">
        <v>94</v>
      </c>
      <c r="C120" s="60" t="s">
        <v>331</v>
      </c>
      <c r="D120" s="60" t="s">
        <v>318</v>
      </c>
      <c r="E120" s="60" t="s">
        <v>29</v>
      </c>
      <c r="F120" s="60" t="s">
        <v>29</v>
      </c>
      <c r="G120" s="60" t="s">
        <v>29</v>
      </c>
      <c r="H120" s="60">
        <v>20</v>
      </c>
      <c r="I120" s="103" t="s">
        <v>507</v>
      </c>
      <c r="J120" s="60">
        <v>45</v>
      </c>
      <c r="K120" s="60">
        <v>70</v>
      </c>
      <c r="L120" s="60" t="s">
        <v>29</v>
      </c>
      <c r="M120" s="60" t="s">
        <v>29</v>
      </c>
      <c r="N120" s="60" t="s">
        <v>29</v>
      </c>
      <c r="O120" s="60" t="s">
        <v>29</v>
      </c>
      <c r="P120" s="60" t="s">
        <v>319</v>
      </c>
      <c r="Q120" s="60" t="s">
        <v>333</v>
      </c>
    </row>
    <row r="121" spans="1:17" s="66" customFormat="1" ht="14.25" customHeight="1">
      <c r="A121" s="60">
        <v>61</v>
      </c>
      <c r="B121" s="60" t="s">
        <v>94</v>
      </c>
      <c r="C121" s="60" t="s">
        <v>331</v>
      </c>
      <c r="D121" s="60" t="s">
        <v>318</v>
      </c>
      <c r="E121" s="60" t="s">
        <v>29</v>
      </c>
      <c r="F121" s="60" t="s">
        <v>29</v>
      </c>
      <c r="G121" s="60" t="s">
        <v>29</v>
      </c>
      <c r="H121" s="60">
        <v>20</v>
      </c>
      <c r="I121" s="103" t="s">
        <v>507</v>
      </c>
      <c r="J121" s="60">
        <v>45</v>
      </c>
      <c r="K121" s="60">
        <v>70</v>
      </c>
      <c r="L121" s="60" t="s">
        <v>29</v>
      </c>
      <c r="M121" s="60" t="s">
        <v>29</v>
      </c>
      <c r="N121" s="60" t="s">
        <v>29</v>
      </c>
      <c r="O121" s="60" t="s">
        <v>29</v>
      </c>
      <c r="P121" s="60" t="s">
        <v>319</v>
      </c>
      <c r="Q121" s="60" t="s">
        <v>334</v>
      </c>
    </row>
    <row r="122" spans="1:17" s="66" customFormat="1" ht="14.25" customHeight="1">
      <c r="A122" s="60">
        <v>61</v>
      </c>
      <c r="B122" s="60" t="s">
        <v>94</v>
      </c>
      <c r="C122" s="60" t="s">
        <v>335</v>
      </c>
      <c r="D122" s="60" t="s">
        <v>318</v>
      </c>
      <c r="E122" s="60" t="s">
        <v>29</v>
      </c>
      <c r="F122" s="60" t="s">
        <v>29</v>
      </c>
      <c r="G122" s="60" t="s">
        <v>29</v>
      </c>
      <c r="H122" s="60">
        <v>25</v>
      </c>
      <c r="I122" s="103" t="s">
        <v>507</v>
      </c>
      <c r="J122" s="60">
        <v>45</v>
      </c>
      <c r="K122" s="60">
        <v>70</v>
      </c>
      <c r="L122" s="60" t="s">
        <v>29</v>
      </c>
      <c r="M122" s="60" t="s">
        <v>29</v>
      </c>
      <c r="N122" s="60" t="s">
        <v>29</v>
      </c>
      <c r="O122" s="60" t="s">
        <v>29</v>
      </c>
      <c r="P122" s="60" t="s">
        <v>319</v>
      </c>
      <c r="Q122" s="60" t="s">
        <v>323</v>
      </c>
    </row>
    <row r="123" spans="1:17" s="66" customFormat="1" ht="14.25" customHeight="1">
      <c r="A123" s="60">
        <v>61</v>
      </c>
      <c r="B123" s="60" t="s">
        <v>94</v>
      </c>
      <c r="C123" s="60" t="s">
        <v>336</v>
      </c>
      <c r="D123" s="60" t="s">
        <v>318</v>
      </c>
      <c r="E123" s="60" t="s">
        <v>29</v>
      </c>
      <c r="F123" s="60" t="s">
        <v>29</v>
      </c>
      <c r="G123" s="60" t="s">
        <v>29</v>
      </c>
      <c r="H123" s="60">
        <v>210</v>
      </c>
      <c r="I123" s="103" t="s">
        <v>507</v>
      </c>
      <c r="J123" s="60">
        <v>45</v>
      </c>
      <c r="K123" s="60">
        <v>70</v>
      </c>
      <c r="L123" s="60" t="s">
        <v>29</v>
      </c>
      <c r="M123" s="60" t="s">
        <v>29</v>
      </c>
      <c r="N123" s="60" t="s">
        <v>29</v>
      </c>
      <c r="O123" s="60" t="s">
        <v>29</v>
      </c>
      <c r="P123" s="60" t="s">
        <v>319</v>
      </c>
      <c r="Q123" s="60" t="s">
        <v>29</v>
      </c>
    </row>
    <row r="124" spans="1:17" s="66" customFormat="1" ht="14.25" customHeight="1">
      <c r="A124" s="60">
        <v>61</v>
      </c>
      <c r="B124" s="60" t="s">
        <v>94</v>
      </c>
      <c r="C124" s="60" t="s">
        <v>337</v>
      </c>
      <c r="D124" s="60" t="s">
        <v>318</v>
      </c>
      <c r="E124" s="60" t="s">
        <v>29</v>
      </c>
      <c r="F124" s="60" t="s">
        <v>29</v>
      </c>
      <c r="G124" s="60" t="s">
        <v>29</v>
      </c>
      <c r="H124" s="60">
        <v>14</v>
      </c>
      <c r="I124" s="103" t="s">
        <v>507</v>
      </c>
      <c r="J124" s="60">
        <v>45</v>
      </c>
      <c r="K124" s="60">
        <v>70</v>
      </c>
      <c r="L124" s="60" t="s">
        <v>29</v>
      </c>
      <c r="M124" s="60" t="s">
        <v>29</v>
      </c>
      <c r="N124" s="60" t="s">
        <v>29</v>
      </c>
      <c r="O124" s="60" t="s">
        <v>29</v>
      </c>
      <c r="P124" s="60" t="s">
        <v>319</v>
      </c>
      <c r="Q124" s="60" t="s">
        <v>82</v>
      </c>
    </row>
    <row r="125" spans="1:17" s="66" customFormat="1" ht="14.25" customHeight="1">
      <c r="A125" s="60">
        <v>61</v>
      </c>
      <c r="B125" s="60" t="s">
        <v>94</v>
      </c>
      <c r="C125" s="60" t="s">
        <v>29</v>
      </c>
      <c r="D125" s="60" t="s">
        <v>318</v>
      </c>
      <c r="E125" s="60" t="s">
        <v>29</v>
      </c>
      <c r="F125" s="60" t="s">
        <v>29</v>
      </c>
      <c r="G125" s="60" t="s">
        <v>29</v>
      </c>
      <c r="H125" s="60">
        <v>30</v>
      </c>
      <c r="I125" s="103" t="s">
        <v>507</v>
      </c>
      <c r="J125" s="60">
        <v>45</v>
      </c>
      <c r="K125" s="60">
        <v>70</v>
      </c>
      <c r="L125" s="60" t="s">
        <v>29</v>
      </c>
      <c r="M125" s="60" t="s">
        <v>29</v>
      </c>
      <c r="N125" s="60" t="s">
        <v>29</v>
      </c>
      <c r="O125" s="60" t="s">
        <v>29</v>
      </c>
      <c r="P125" s="60" t="s">
        <v>319</v>
      </c>
      <c r="Q125" s="60" t="s">
        <v>338</v>
      </c>
    </row>
    <row r="126" spans="1:17" s="66" customFormat="1" ht="14.25" customHeight="1">
      <c r="A126" s="60">
        <v>61</v>
      </c>
      <c r="B126" s="60" t="s">
        <v>94</v>
      </c>
      <c r="C126" s="60" t="s">
        <v>325</v>
      </c>
      <c r="D126" s="60" t="s">
        <v>318</v>
      </c>
      <c r="E126" s="60" t="s">
        <v>29</v>
      </c>
      <c r="F126" s="60" t="s">
        <v>29</v>
      </c>
      <c r="G126" s="60" t="s">
        <v>29</v>
      </c>
      <c r="H126" s="60">
        <v>70</v>
      </c>
      <c r="I126" s="103" t="s">
        <v>506</v>
      </c>
      <c r="J126" s="60">
        <v>45</v>
      </c>
      <c r="K126" s="60">
        <v>70</v>
      </c>
      <c r="L126" s="60" t="s">
        <v>29</v>
      </c>
      <c r="M126" s="60" t="s">
        <v>29</v>
      </c>
      <c r="N126" s="60" t="s">
        <v>29</v>
      </c>
      <c r="O126" s="60" t="s">
        <v>29</v>
      </c>
      <c r="P126" s="60" t="s">
        <v>319</v>
      </c>
      <c r="Q126" s="60" t="s">
        <v>339</v>
      </c>
    </row>
    <row r="127" spans="1:17" s="66" customFormat="1" ht="14.25" customHeight="1">
      <c r="A127" s="60">
        <v>61</v>
      </c>
      <c r="B127" s="60" t="s">
        <v>94</v>
      </c>
      <c r="C127" s="60" t="s">
        <v>325</v>
      </c>
      <c r="D127" s="60" t="s">
        <v>318</v>
      </c>
      <c r="E127" s="60" t="s">
        <v>29</v>
      </c>
      <c r="F127" s="60" t="s">
        <v>29</v>
      </c>
      <c r="G127" s="60" t="s">
        <v>29</v>
      </c>
      <c r="H127" s="60">
        <v>60</v>
      </c>
      <c r="I127" s="103" t="s">
        <v>507</v>
      </c>
      <c r="J127" s="60">
        <v>45</v>
      </c>
      <c r="K127" s="60">
        <v>85</v>
      </c>
      <c r="L127" s="60" t="s">
        <v>29</v>
      </c>
      <c r="M127" s="60" t="s">
        <v>29</v>
      </c>
      <c r="N127" s="60" t="s">
        <v>29</v>
      </c>
      <c r="O127" s="60" t="s">
        <v>29</v>
      </c>
      <c r="P127" s="60" t="s">
        <v>319</v>
      </c>
      <c r="Q127" s="60" t="s">
        <v>339</v>
      </c>
    </row>
    <row r="128" spans="1:17" s="66" customFormat="1" ht="14.25" customHeight="1">
      <c r="A128" s="60">
        <v>61</v>
      </c>
      <c r="B128" s="60" t="s">
        <v>94</v>
      </c>
      <c r="C128" s="60" t="s">
        <v>145</v>
      </c>
      <c r="D128" s="103" t="s">
        <v>558</v>
      </c>
      <c r="E128" s="60" t="s">
        <v>29</v>
      </c>
      <c r="F128" s="60">
        <v>200</v>
      </c>
      <c r="G128" s="60" t="s">
        <v>26</v>
      </c>
      <c r="H128" s="103" t="s">
        <v>29</v>
      </c>
      <c r="I128" s="103" t="s">
        <v>29</v>
      </c>
      <c r="J128" s="60">
        <v>45</v>
      </c>
      <c r="K128" s="60">
        <v>70</v>
      </c>
      <c r="L128" s="60" t="s">
        <v>29</v>
      </c>
      <c r="M128" s="60" t="s">
        <v>29</v>
      </c>
      <c r="N128" s="60" t="s">
        <v>29</v>
      </c>
      <c r="O128" s="60" t="s">
        <v>29</v>
      </c>
      <c r="P128" s="60" t="s">
        <v>319</v>
      </c>
      <c r="Q128" s="60" t="s">
        <v>29</v>
      </c>
    </row>
    <row r="129" spans="1:17" ht="14.25" customHeight="1">
      <c r="A129" s="3">
        <v>62</v>
      </c>
      <c r="B129" s="3" t="s">
        <v>70</v>
      </c>
      <c r="C129" s="3" t="s">
        <v>340</v>
      </c>
      <c r="D129" s="3" t="s">
        <v>318</v>
      </c>
      <c r="E129" s="3" t="s">
        <v>29</v>
      </c>
      <c r="F129" s="3" t="s">
        <v>29</v>
      </c>
      <c r="G129" s="3" t="s">
        <v>29</v>
      </c>
      <c r="H129" s="15">
        <v>650</v>
      </c>
      <c r="I129" s="15" t="s">
        <v>341</v>
      </c>
      <c r="J129" s="17">
        <v>130</v>
      </c>
      <c r="K129" s="15">
        <v>130</v>
      </c>
      <c r="L129" s="3" t="s">
        <v>29</v>
      </c>
      <c r="M129" s="3" t="s">
        <v>29</v>
      </c>
      <c r="N129" s="3" t="s">
        <v>29</v>
      </c>
      <c r="O129" s="3" t="s">
        <v>29</v>
      </c>
      <c r="P129" s="3" t="s">
        <v>342</v>
      </c>
      <c r="Q129" s="3" t="s">
        <v>343</v>
      </c>
    </row>
    <row r="130" spans="1:17" ht="14.25" customHeight="1">
      <c r="A130" s="3">
        <v>62</v>
      </c>
      <c r="B130" s="3" t="s">
        <v>70</v>
      </c>
      <c r="C130" s="3" t="s">
        <v>340</v>
      </c>
      <c r="D130" s="3" t="s">
        <v>318</v>
      </c>
      <c r="E130" s="3" t="s">
        <v>29</v>
      </c>
      <c r="F130" s="3" t="s">
        <v>29</v>
      </c>
      <c r="G130" s="3" t="s">
        <v>29</v>
      </c>
      <c r="H130" s="3" t="s">
        <v>29</v>
      </c>
      <c r="I130" s="3" t="s">
        <v>29</v>
      </c>
      <c r="J130" s="3" t="s">
        <v>29</v>
      </c>
      <c r="K130" s="3" t="s">
        <v>29</v>
      </c>
      <c r="L130" s="3" t="s">
        <v>29</v>
      </c>
      <c r="M130" s="3" t="s">
        <v>29</v>
      </c>
      <c r="N130" s="3" t="s">
        <v>29</v>
      </c>
      <c r="O130" s="3" t="s">
        <v>29</v>
      </c>
      <c r="P130" s="3" t="s">
        <v>29</v>
      </c>
      <c r="Q130" s="3" t="s">
        <v>344</v>
      </c>
    </row>
    <row r="131" spans="1:17" ht="14.25" customHeight="1">
      <c r="A131" s="3">
        <v>62</v>
      </c>
      <c r="B131" s="3" t="s">
        <v>70</v>
      </c>
      <c r="C131" s="3" t="s">
        <v>82</v>
      </c>
      <c r="D131" s="3" t="s">
        <v>318</v>
      </c>
      <c r="E131" s="3" t="s">
        <v>29</v>
      </c>
      <c r="F131" s="3" t="s">
        <v>29</v>
      </c>
      <c r="G131" s="3" t="s">
        <v>29</v>
      </c>
      <c r="H131" s="3" t="s">
        <v>29</v>
      </c>
      <c r="I131" s="3" t="s">
        <v>29</v>
      </c>
      <c r="J131" s="3" t="s">
        <v>29</v>
      </c>
      <c r="K131" s="3" t="s">
        <v>29</v>
      </c>
      <c r="L131" s="3" t="s">
        <v>29</v>
      </c>
      <c r="M131" s="3" t="s">
        <v>29</v>
      </c>
      <c r="N131" s="3" t="s">
        <v>29</v>
      </c>
      <c r="O131" s="3" t="s">
        <v>29</v>
      </c>
      <c r="P131" s="3" t="s">
        <v>29</v>
      </c>
      <c r="Q131" s="3" t="s">
        <v>345</v>
      </c>
    </row>
    <row r="132" spans="1:17" ht="14.25" customHeight="1">
      <c r="A132" s="3">
        <v>62</v>
      </c>
      <c r="B132" s="3" t="s">
        <v>70</v>
      </c>
      <c r="C132" s="3" t="s">
        <v>340</v>
      </c>
      <c r="D132" s="3" t="s">
        <v>318</v>
      </c>
      <c r="E132" s="3" t="s">
        <v>29</v>
      </c>
      <c r="F132" s="3" t="s">
        <v>29</v>
      </c>
      <c r="G132" s="3" t="s">
        <v>29</v>
      </c>
      <c r="H132" s="3" t="s">
        <v>29</v>
      </c>
      <c r="I132" s="3" t="s">
        <v>29</v>
      </c>
      <c r="J132" s="3" t="s">
        <v>29</v>
      </c>
      <c r="K132" s="3" t="s">
        <v>29</v>
      </c>
      <c r="L132" s="3" t="s">
        <v>29</v>
      </c>
      <c r="M132" s="3" t="s">
        <v>29</v>
      </c>
      <c r="N132" s="3" t="s">
        <v>29</v>
      </c>
      <c r="O132" s="3" t="s">
        <v>29</v>
      </c>
      <c r="P132" s="3" t="s">
        <v>29</v>
      </c>
      <c r="Q132" s="3" t="s">
        <v>346</v>
      </c>
    </row>
    <row r="133" spans="1:17" ht="14.25" customHeight="1">
      <c r="A133" s="3">
        <v>62</v>
      </c>
      <c r="B133" s="3" t="s">
        <v>70</v>
      </c>
      <c r="C133" s="3" t="s">
        <v>82</v>
      </c>
      <c r="D133" s="3" t="s">
        <v>318</v>
      </c>
      <c r="E133" s="3" t="s">
        <v>29</v>
      </c>
      <c r="F133" s="3" t="s">
        <v>29</v>
      </c>
      <c r="G133" s="3" t="s">
        <v>29</v>
      </c>
      <c r="H133" s="3" t="s">
        <v>29</v>
      </c>
      <c r="I133" s="3" t="s">
        <v>29</v>
      </c>
      <c r="J133" s="3" t="s">
        <v>29</v>
      </c>
      <c r="K133" s="3" t="s">
        <v>29</v>
      </c>
      <c r="L133" s="3" t="s">
        <v>29</v>
      </c>
      <c r="M133" s="3" t="s">
        <v>29</v>
      </c>
      <c r="N133" s="3" t="s">
        <v>29</v>
      </c>
      <c r="O133" s="3" t="s">
        <v>29</v>
      </c>
      <c r="P133" s="3" t="s">
        <v>29</v>
      </c>
      <c r="Q133" s="3" t="s">
        <v>347</v>
      </c>
    </row>
    <row r="134" spans="1:17" ht="14.25" customHeight="1">
      <c r="A134" s="3">
        <v>62</v>
      </c>
      <c r="B134" s="3" t="s">
        <v>70</v>
      </c>
      <c r="C134" s="3" t="s">
        <v>340</v>
      </c>
      <c r="D134" s="3" t="s">
        <v>318</v>
      </c>
      <c r="E134" s="3" t="s">
        <v>29</v>
      </c>
      <c r="F134" s="3" t="s">
        <v>29</v>
      </c>
      <c r="G134" s="3" t="s">
        <v>29</v>
      </c>
      <c r="H134" s="3" t="s">
        <v>29</v>
      </c>
      <c r="I134" s="3" t="s">
        <v>29</v>
      </c>
      <c r="J134" s="3" t="s">
        <v>29</v>
      </c>
      <c r="K134" s="3" t="s">
        <v>29</v>
      </c>
      <c r="L134" s="3" t="s">
        <v>29</v>
      </c>
      <c r="M134" s="3" t="s">
        <v>29</v>
      </c>
      <c r="N134" s="3" t="s">
        <v>29</v>
      </c>
      <c r="O134" s="3" t="s">
        <v>29</v>
      </c>
      <c r="P134" s="3" t="s">
        <v>29</v>
      </c>
      <c r="Q134" s="3" t="s">
        <v>348</v>
      </c>
    </row>
    <row r="135" spans="1:17" ht="14.25" customHeight="1">
      <c r="A135" s="3">
        <v>62</v>
      </c>
      <c r="B135" s="3" t="s">
        <v>70</v>
      </c>
      <c r="C135" s="3" t="s">
        <v>340</v>
      </c>
      <c r="D135" s="3" t="s">
        <v>318</v>
      </c>
      <c r="E135" s="3" t="s">
        <v>29</v>
      </c>
      <c r="F135" s="3" t="s">
        <v>29</v>
      </c>
      <c r="G135" s="3" t="s">
        <v>29</v>
      </c>
      <c r="H135" s="3" t="s">
        <v>29</v>
      </c>
      <c r="I135" s="3" t="s">
        <v>29</v>
      </c>
      <c r="J135" s="3" t="s">
        <v>29</v>
      </c>
      <c r="K135" s="3" t="s">
        <v>29</v>
      </c>
      <c r="L135" s="3" t="s">
        <v>29</v>
      </c>
      <c r="M135" s="3" t="s">
        <v>29</v>
      </c>
      <c r="N135" s="3" t="s">
        <v>29</v>
      </c>
      <c r="O135" s="3" t="s">
        <v>29</v>
      </c>
      <c r="P135" s="3" t="s">
        <v>29</v>
      </c>
      <c r="Q135" s="3" t="s">
        <v>349</v>
      </c>
    </row>
    <row r="136" spans="1:17" ht="14.25" customHeight="1">
      <c r="A136" s="3">
        <v>62</v>
      </c>
      <c r="B136" s="3" t="s">
        <v>70</v>
      </c>
      <c r="C136" s="3" t="s">
        <v>340</v>
      </c>
      <c r="D136" s="3" t="s">
        <v>318</v>
      </c>
      <c r="E136" s="3" t="s">
        <v>29</v>
      </c>
      <c r="F136" s="3" t="s">
        <v>29</v>
      </c>
      <c r="G136" s="3" t="s">
        <v>29</v>
      </c>
      <c r="H136" s="3" t="s">
        <v>29</v>
      </c>
      <c r="I136" s="3" t="s">
        <v>29</v>
      </c>
      <c r="J136" s="3" t="s">
        <v>29</v>
      </c>
      <c r="K136" s="3" t="s">
        <v>29</v>
      </c>
      <c r="L136" s="3" t="s">
        <v>29</v>
      </c>
      <c r="M136" s="3" t="s">
        <v>29</v>
      </c>
      <c r="N136" s="3" t="s">
        <v>29</v>
      </c>
      <c r="O136" s="3" t="s">
        <v>29</v>
      </c>
      <c r="P136" s="3" t="s">
        <v>29</v>
      </c>
      <c r="Q136" s="3" t="s">
        <v>350</v>
      </c>
    </row>
    <row r="137" spans="1:17" ht="14.25" customHeight="1">
      <c r="A137" s="3">
        <v>62</v>
      </c>
      <c r="B137" s="3" t="s">
        <v>70</v>
      </c>
      <c r="C137" s="3" t="s">
        <v>340</v>
      </c>
      <c r="D137" s="3" t="s">
        <v>318</v>
      </c>
      <c r="E137" s="3" t="s">
        <v>29</v>
      </c>
      <c r="F137" s="3" t="s">
        <v>29</v>
      </c>
      <c r="G137" s="3" t="s">
        <v>29</v>
      </c>
      <c r="H137" s="3" t="s">
        <v>29</v>
      </c>
      <c r="I137" s="3" t="s">
        <v>29</v>
      </c>
      <c r="J137" s="3" t="s">
        <v>29</v>
      </c>
      <c r="K137" s="3" t="s">
        <v>29</v>
      </c>
      <c r="L137" s="3" t="s">
        <v>29</v>
      </c>
      <c r="M137" s="3" t="s">
        <v>29</v>
      </c>
      <c r="N137" s="3" t="s">
        <v>29</v>
      </c>
      <c r="O137" s="3" t="s">
        <v>29</v>
      </c>
      <c r="P137" s="3" t="s">
        <v>29</v>
      </c>
      <c r="Q137" s="3" t="s">
        <v>351</v>
      </c>
    </row>
    <row r="138" spans="1:17" ht="14.25" customHeight="1">
      <c r="A138" s="3">
        <v>62</v>
      </c>
      <c r="B138" s="3" t="s">
        <v>70</v>
      </c>
      <c r="C138" s="3" t="s">
        <v>340</v>
      </c>
      <c r="D138" s="3" t="s">
        <v>318</v>
      </c>
      <c r="E138" s="3" t="s">
        <v>29</v>
      </c>
      <c r="F138" s="3" t="s">
        <v>29</v>
      </c>
      <c r="G138" s="3" t="s">
        <v>29</v>
      </c>
      <c r="H138" s="3" t="s">
        <v>29</v>
      </c>
      <c r="I138" s="3" t="s">
        <v>29</v>
      </c>
      <c r="J138" s="3" t="s">
        <v>29</v>
      </c>
      <c r="K138" s="3" t="s">
        <v>29</v>
      </c>
      <c r="L138" s="3" t="s">
        <v>29</v>
      </c>
      <c r="M138" s="3" t="s">
        <v>29</v>
      </c>
      <c r="N138" s="3" t="s">
        <v>29</v>
      </c>
      <c r="O138" s="3" t="s">
        <v>29</v>
      </c>
      <c r="P138" s="3" t="s">
        <v>29</v>
      </c>
      <c r="Q138" s="3" t="s">
        <v>352</v>
      </c>
    </row>
    <row r="139" spans="1:17" ht="14.25" customHeight="1">
      <c r="A139" s="3">
        <v>62</v>
      </c>
      <c r="B139" s="3" t="s">
        <v>70</v>
      </c>
      <c r="C139" s="3" t="s">
        <v>340</v>
      </c>
      <c r="D139" s="3" t="s">
        <v>318</v>
      </c>
      <c r="E139" s="3" t="s">
        <v>29</v>
      </c>
      <c r="F139" s="3" t="s">
        <v>29</v>
      </c>
      <c r="G139" s="3" t="s">
        <v>29</v>
      </c>
      <c r="H139" s="3" t="s">
        <v>29</v>
      </c>
      <c r="I139" s="3" t="s">
        <v>29</v>
      </c>
      <c r="J139" s="3" t="s">
        <v>29</v>
      </c>
      <c r="K139" s="3" t="s">
        <v>29</v>
      </c>
      <c r="L139" s="3" t="s">
        <v>29</v>
      </c>
      <c r="M139" s="3" t="s">
        <v>29</v>
      </c>
      <c r="N139" s="3" t="s">
        <v>29</v>
      </c>
      <c r="O139" s="3" t="s">
        <v>29</v>
      </c>
      <c r="P139" s="3" t="s">
        <v>29</v>
      </c>
      <c r="Q139" s="3" t="s">
        <v>353</v>
      </c>
    </row>
    <row r="140" spans="1:17" ht="14.25" customHeight="1">
      <c r="A140" s="3">
        <v>62</v>
      </c>
      <c r="B140" s="3" t="s">
        <v>70</v>
      </c>
      <c r="C140" s="3" t="s">
        <v>340</v>
      </c>
      <c r="D140" s="3" t="s">
        <v>318</v>
      </c>
      <c r="E140" s="3" t="s">
        <v>29</v>
      </c>
      <c r="F140" s="3" t="s">
        <v>29</v>
      </c>
      <c r="G140" s="3" t="s">
        <v>29</v>
      </c>
      <c r="H140" s="3" t="s">
        <v>29</v>
      </c>
      <c r="I140" s="3" t="s">
        <v>29</v>
      </c>
      <c r="J140" s="3" t="s">
        <v>29</v>
      </c>
      <c r="K140" s="3" t="s">
        <v>29</v>
      </c>
      <c r="L140" s="3" t="s">
        <v>29</v>
      </c>
      <c r="M140" s="3" t="s">
        <v>29</v>
      </c>
      <c r="N140" s="3" t="s">
        <v>29</v>
      </c>
      <c r="O140" s="3" t="s">
        <v>29</v>
      </c>
      <c r="P140" s="3" t="s">
        <v>29</v>
      </c>
      <c r="Q140" s="11"/>
    </row>
    <row r="141" spans="1:17" s="97" customFormat="1" ht="66.599999999999994" customHeight="1">
      <c r="A141" s="92">
        <v>63</v>
      </c>
      <c r="B141" s="92" t="s">
        <v>70</v>
      </c>
      <c r="C141" s="93" t="s">
        <v>456</v>
      </c>
      <c r="D141" s="62" t="s">
        <v>318</v>
      </c>
      <c r="E141" s="93" t="s">
        <v>287</v>
      </c>
      <c r="F141" s="92" t="s">
        <v>29</v>
      </c>
      <c r="G141" s="92" t="s">
        <v>26</v>
      </c>
      <c r="H141" s="94">
        <f>6000*70</f>
        <v>420000</v>
      </c>
      <c r="I141" s="92" t="s">
        <v>26</v>
      </c>
      <c r="J141" s="95">
        <f>150/70</f>
        <v>2.1428571428571428</v>
      </c>
      <c r="K141" s="92">
        <f>350/70</f>
        <v>5</v>
      </c>
      <c r="L141" s="62" t="s">
        <v>29</v>
      </c>
      <c r="M141" s="62" t="s">
        <v>29</v>
      </c>
      <c r="N141" s="62" t="s">
        <v>29</v>
      </c>
      <c r="O141" s="62" t="s">
        <v>29</v>
      </c>
      <c r="P141" s="92" t="s">
        <v>458</v>
      </c>
      <c r="Q141" s="93" t="s">
        <v>459</v>
      </c>
    </row>
    <row r="142" spans="1:17" s="97" customFormat="1" ht="36.6" customHeight="1">
      <c r="A142" s="123">
        <v>63</v>
      </c>
      <c r="B142" s="123" t="s">
        <v>68</v>
      </c>
      <c r="C142" s="125" t="s">
        <v>457</v>
      </c>
      <c r="D142" s="113" t="s">
        <v>318</v>
      </c>
      <c r="E142" s="125" t="s">
        <v>287</v>
      </c>
      <c r="F142" s="123" t="s">
        <v>29</v>
      </c>
      <c r="G142" s="92" t="s">
        <v>544</v>
      </c>
      <c r="H142" s="94">
        <v>30</v>
      </c>
      <c r="I142" s="92" t="s">
        <v>26</v>
      </c>
      <c r="J142" s="123">
        <v>35</v>
      </c>
      <c r="K142" s="123">
        <v>90</v>
      </c>
      <c r="L142" s="113" t="s">
        <v>29</v>
      </c>
      <c r="M142" s="113" t="s">
        <v>29</v>
      </c>
      <c r="N142" s="113" t="s">
        <v>29</v>
      </c>
      <c r="O142" s="113" t="s">
        <v>29</v>
      </c>
      <c r="P142" s="123" t="s">
        <v>458</v>
      </c>
      <c r="Q142" s="123" t="s">
        <v>195</v>
      </c>
    </row>
    <row r="143" spans="1:17" s="96" customFormat="1" ht="39.6" customHeight="1">
      <c r="A143" s="124"/>
      <c r="B143" s="124"/>
      <c r="C143" s="126"/>
      <c r="D143" s="127"/>
      <c r="E143" s="126"/>
      <c r="F143" s="124"/>
      <c r="G143" s="92" t="s">
        <v>545</v>
      </c>
      <c r="H143" s="93">
        <v>250</v>
      </c>
      <c r="I143" s="92" t="s">
        <v>26</v>
      </c>
      <c r="J143" s="124"/>
      <c r="K143" s="124"/>
      <c r="L143" s="127"/>
      <c r="M143" s="127"/>
      <c r="N143" s="127"/>
      <c r="O143" s="127"/>
      <c r="P143" s="124"/>
      <c r="Q143" s="124"/>
    </row>
    <row r="144" spans="1:17" s="96" customFormat="1" ht="50.4" customHeight="1">
      <c r="A144" s="92">
        <v>64</v>
      </c>
      <c r="B144" s="92" t="s">
        <v>70</v>
      </c>
      <c r="C144" s="93" t="s">
        <v>493</v>
      </c>
      <c r="D144" s="60" t="s">
        <v>318</v>
      </c>
      <c r="E144" s="92" t="s">
        <v>29</v>
      </c>
      <c r="F144" s="92" t="s">
        <v>29</v>
      </c>
      <c r="G144" s="92" t="s">
        <v>26</v>
      </c>
      <c r="H144" s="94">
        <f>2020*70</f>
        <v>141400</v>
      </c>
      <c r="I144" s="92" t="s">
        <v>26</v>
      </c>
      <c r="J144" s="95">
        <f>90/70</f>
        <v>1.2857142857142858</v>
      </c>
      <c r="K144" s="95">
        <f>180/70</f>
        <v>2.5714285714285716</v>
      </c>
      <c r="L144" s="60" t="s">
        <v>29</v>
      </c>
      <c r="M144" s="60" t="s">
        <v>29</v>
      </c>
      <c r="N144" s="93" t="s">
        <v>495</v>
      </c>
      <c r="O144" s="93" t="s">
        <v>496</v>
      </c>
      <c r="P144" s="92" t="s">
        <v>458</v>
      </c>
      <c r="Q144" s="93" t="s">
        <v>497</v>
      </c>
    </row>
    <row r="145" spans="1:17" s="96" customFormat="1" ht="29.4" customHeight="1">
      <c r="A145" s="92">
        <v>64</v>
      </c>
      <c r="B145" s="92" t="s">
        <v>68</v>
      </c>
      <c r="C145" s="93" t="s">
        <v>492</v>
      </c>
      <c r="D145" s="60" t="s">
        <v>318</v>
      </c>
      <c r="E145" s="92" t="s">
        <v>29</v>
      </c>
      <c r="F145" s="92" t="s">
        <v>29</v>
      </c>
      <c r="G145" s="92" t="s">
        <v>26</v>
      </c>
      <c r="H145" s="94">
        <v>5300</v>
      </c>
      <c r="I145" s="92" t="s">
        <v>26</v>
      </c>
      <c r="J145" s="92">
        <v>35</v>
      </c>
      <c r="K145" s="92">
        <v>80</v>
      </c>
      <c r="L145" s="60" t="s">
        <v>29</v>
      </c>
      <c r="M145" s="60" t="s">
        <v>29</v>
      </c>
      <c r="N145" s="92" t="s">
        <v>29</v>
      </c>
      <c r="O145" s="92" t="s">
        <v>29</v>
      </c>
      <c r="P145" s="92" t="s">
        <v>458</v>
      </c>
      <c r="Q145" s="93" t="s">
        <v>498</v>
      </c>
    </row>
    <row r="146" spans="1:17" s="96" customFormat="1" ht="38.4" customHeight="1">
      <c r="A146" s="92">
        <v>64</v>
      </c>
      <c r="B146" s="92" t="s">
        <v>491</v>
      </c>
      <c r="C146" s="93" t="s">
        <v>494</v>
      </c>
      <c r="D146" s="60" t="s">
        <v>318</v>
      </c>
      <c r="E146" s="92" t="s">
        <v>29</v>
      </c>
      <c r="F146" s="92" t="s">
        <v>29</v>
      </c>
      <c r="G146" s="92" t="s">
        <v>26</v>
      </c>
      <c r="H146" s="94">
        <v>700</v>
      </c>
      <c r="I146" s="92" t="s">
        <v>26</v>
      </c>
      <c r="J146" s="92" t="s">
        <v>29</v>
      </c>
      <c r="K146" s="92" t="s">
        <v>29</v>
      </c>
      <c r="L146" s="60" t="s">
        <v>29</v>
      </c>
      <c r="M146" s="60" t="s">
        <v>29</v>
      </c>
      <c r="N146" s="92" t="s">
        <v>29</v>
      </c>
      <c r="O146" s="92" t="s">
        <v>29</v>
      </c>
      <c r="P146" s="92" t="s">
        <v>29</v>
      </c>
      <c r="Q146" s="93" t="s">
        <v>499</v>
      </c>
    </row>
    <row r="147" spans="1:17" s="96" customFormat="1" ht="106.8" customHeight="1">
      <c r="A147" s="92">
        <v>65</v>
      </c>
      <c r="B147" s="92" t="s">
        <v>70</v>
      </c>
      <c r="C147" s="93" t="s">
        <v>503</v>
      </c>
      <c r="D147" s="62" t="s">
        <v>318</v>
      </c>
      <c r="E147" s="92" t="s">
        <v>29</v>
      </c>
      <c r="F147" s="92" t="s">
        <v>29</v>
      </c>
      <c r="G147" s="92" t="s">
        <v>26</v>
      </c>
      <c r="H147" s="94">
        <f>4612*70</f>
        <v>322840</v>
      </c>
      <c r="I147" s="92" t="s">
        <v>26</v>
      </c>
      <c r="J147" s="95">
        <f>150/70</f>
        <v>2.1428571428571428</v>
      </c>
      <c r="K147" s="95">
        <f>320/70</f>
        <v>4.5714285714285712</v>
      </c>
      <c r="L147" s="62" t="s">
        <v>29</v>
      </c>
      <c r="M147" s="62" t="s">
        <v>29</v>
      </c>
      <c r="N147" s="92" t="s">
        <v>29</v>
      </c>
      <c r="O147" s="92" t="s">
        <v>29</v>
      </c>
      <c r="P147" s="92" t="s">
        <v>504</v>
      </c>
      <c r="Q147" s="93" t="s">
        <v>505</v>
      </c>
    </row>
    <row r="148" spans="1:17" s="96" customFormat="1" ht="55.2" customHeight="1">
      <c r="A148" s="123">
        <v>65</v>
      </c>
      <c r="B148" s="123" t="s">
        <v>68</v>
      </c>
      <c r="C148" s="125" t="s">
        <v>503</v>
      </c>
      <c r="D148" s="113" t="s">
        <v>318</v>
      </c>
      <c r="E148" s="123" t="s">
        <v>29</v>
      </c>
      <c r="F148" s="123" t="s">
        <v>29</v>
      </c>
      <c r="G148" s="123" t="s">
        <v>26</v>
      </c>
      <c r="H148" s="123">
        <v>3000</v>
      </c>
      <c r="I148" s="92" t="s">
        <v>507</v>
      </c>
      <c r="J148" s="95">
        <v>100</v>
      </c>
      <c r="K148" s="95">
        <v>160</v>
      </c>
      <c r="L148" s="113" t="s">
        <v>29</v>
      </c>
      <c r="M148" s="113" t="s">
        <v>29</v>
      </c>
      <c r="N148" s="123" t="s">
        <v>29</v>
      </c>
      <c r="O148" s="123" t="s">
        <v>29</v>
      </c>
      <c r="P148" s="123" t="s">
        <v>508</v>
      </c>
      <c r="Q148" s="123" t="s">
        <v>509</v>
      </c>
    </row>
    <row r="149" spans="1:17" s="96" customFormat="1" ht="50.4" customHeight="1">
      <c r="A149" s="124"/>
      <c r="B149" s="124"/>
      <c r="C149" s="126"/>
      <c r="D149" s="127"/>
      <c r="E149" s="124"/>
      <c r="F149" s="124"/>
      <c r="G149" s="124"/>
      <c r="H149" s="124"/>
      <c r="I149" s="92" t="s">
        <v>506</v>
      </c>
      <c r="J149" s="92">
        <v>40</v>
      </c>
      <c r="K149" s="92">
        <v>80</v>
      </c>
      <c r="L149" s="127"/>
      <c r="M149" s="127"/>
      <c r="N149" s="124"/>
      <c r="O149" s="124"/>
      <c r="P149" s="124"/>
      <c r="Q149" s="124"/>
    </row>
    <row r="150" spans="1:17" s="40" customFormat="1" ht="57.6" customHeight="1">
      <c r="A150" s="39">
        <v>66</v>
      </c>
      <c r="B150" s="39" t="s">
        <v>70</v>
      </c>
      <c r="C150" s="39" t="s">
        <v>502</v>
      </c>
      <c r="D150" s="7" t="s">
        <v>318</v>
      </c>
      <c r="E150" s="39" t="s">
        <v>29</v>
      </c>
      <c r="F150" s="39" t="s">
        <v>29</v>
      </c>
      <c r="G150" s="39" t="s">
        <v>26</v>
      </c>
      <c r="H150" s="41">
        <v>63000</v>
      </c>
      <c r="I150" s="39" t="s">
        <v>26</v>
      </c>
      <c r="J150" s="39">
        <v>1.78</v>
      </c>
      <c r="K150" s="39">
        <v>3.57</v>
      </c>
      <c r="L150" s="7" t="s">
        <v>29</v>
      </c>
      <c r="M150" s="39" t="s">
        <v>29</v>
      </c>
      <c r="N150" s="39" t="s">
        <v>29</v>
      </c>
      <c r="O150" s="39" t="s">
        <v>29</v>
      </c>
      <c r="P150" s="38" t="s">
        <v>520</v>
      </c>
      <c r="Q150" s="38" t="s">
        <v>521</v>
      </c>
    </row>
    <row r="151" spans="1:17" s="40" customFormat="1" ht="14.25" customHeight="1">
      <c r="A151" s="39">
        <v>66</v>
      </c>
      <c r="B151" s="39" t="s">
        <v>68</v>
      </c>
      <c r="C151" s="39" t="s">
        <v>502</v>
      </c>
      <c r="D151" s="39" t="s">
        <v>134</v>
      </c>
      <c r="E151" s="39" t="s">
        <v>29</v>
      </c>
      <c r="F151" s="39">
        <v>1500</v>
      </c>
      <c r="G151" s="39" t="s">
        <v>26</v>
      </c>
      <c r="H151" s="41">
        <v>8000</v>
      </c>
      <c r="I151" s="39" t="s">
        <v>26</v>
      </c>
      <c r="J151" s="39">
        <v>30</v>
      </c>
      <c r="K151" s="39">
        <v>75</v>
      </c>
      <c r="L151" s="7" t="s">
        <v>29</v>
      </c>
      <c r="M151" s="39" t="s">
        <v>26</v>
      </c>
      <c r="N151" s="39" t="s">
        <v>29</v>
      </c>
      <c r="O151" s="39" t="s">
        <v>29</v>
      </c>
      <c r="P151" s="39" t="s">
        <v>29</v>
      </c>
      <c r="Q151" s="39" t="s">
        <v>522</v>
      </c>
    </row>
    <row r="152" spans="1:17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7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1:17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1:17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1:17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1:17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1:1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1:17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1:17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1:17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1:17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1:17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1:17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1:17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1:17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1:17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1: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1:17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1:17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1:17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1:17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1:17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1:17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1:17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spans="1:17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spans="1:17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spans="1:1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spans="1:17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spans="1:17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spans="1:17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spans="1:17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spans="1:17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spans="1:17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spans="1:17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spans="1:17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spans="1:17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spans="1:1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spans="1:17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spans="1:17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spans="1:17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spans="1:17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spans="1:17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spans="1:17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spans="1:17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spans="1:17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spans="1:17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spans="1:1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spans="1:17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spans="1:17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spans="1:17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spans="1:17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spans="1:17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spans="1:17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spans="1:17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spans="1:17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spans="1:17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spans="1:1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spans="1:17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spans="1:17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spans="1:17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  <row r="261" spans="1:17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</row>
    <row r="262" spans="1:17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</row>
    <row r="263" spans="1:17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</row>
    <row r="264" spans="1:17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</row>
    <row r="265" spans="1:17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</row>
    <row r="266" spans="1:17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</row>
    <row r="267" spans="1:1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</row>
    <row r="268" spans="1:17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</row>
    <row r="269" spans="1:17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</row>
    <row r="270" spans="1:17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</row>
    <row r="271" spans="1:17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</row>
    <row r="272" spans="1:17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</row>
    <row r="273" spans="1:17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</row>
    <row r="274" spans="1:17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</row>
    <row r="275" spans="1:17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</row>
    <row r="276" spans="1:17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</row>
    <row r="277" spans="1:1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</row>
    <row r="278" spans="1:17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</row>
    <row r="279" spans="1:17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</row>
    <row r="280" spans="1:17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</row>
    <row r="281" spans="1:17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</row>
    <row r="282" spans="1:17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</row>
    <row r="283" spans="1:17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</row>
    <row r="284" spans="1:17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</row>
    <row r="285" spans="1:17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</row>
    <row r="286" spans="1:17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</row>
    <row r="287" spans="1:1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</row>
    <row r="288" spans="1:17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</row>
    <row r="289" spans="1:17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</row>
    <row r="290" spans="1:17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</row>
    <row r="291" spans="1:17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</row>
    <row r="292" spans="1:17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</row>
    <row r="293" spans="1:17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</row>
    <row r="294" spans="1:17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</row>
    <row r="295" spans="1:17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</row>
    <row r="296" spans="1:17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</row>
    <row r="297" spans="1:1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</row>
    <row r="298" spans="1:17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</row>
    <row r="299" spans="1:17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</row>
    <row r="300" spans="1:17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</row>
    <row r="301" spans="1:17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</row>
    <row r="302" spans="1:17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</row>
    <row r="303" spans="1:17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</row>
    <row r="304" spans="1:17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</row>
    <row r="305" spans="1:17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</row>
    <row r="306" spans="1:17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</row>
    <row r="307" spans="1:1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</row>
    <row r="308" spans="1:17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</row>
    <row r="309" spans="1:17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</row>
    <row r="310" spans="1:17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</row>
    <row r="311" spans="1:17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</row>
    <row r="312" spans="1:17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</row>
    <row r="313" spans="1:17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</row>
    <row r="314" spans="1:17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</row>
    <row r="315" spans="1:17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</row>
    <row r="316" spans="1:17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</row>
    <row r="317" spans="1: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</row>
    <row r="318" spans="1:17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</row>
    <row r="319" spans="1:17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</row>
    <row r="320" spans="1:17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</row>
    <row r="321" spans="1:17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</row>
    <row r="322" spans="1:17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</row>
    <row r="323" spans="1:17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</row>
    <row r="324" spans="1:17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</row>
    <row r="325" spans="1:17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</row>
    <row r="326" spans="1:17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</row>
    <row r="327" spans="1:1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</row>
    <row r="328" spans="1:17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</row>
    <row r="329" spans="1:17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</row>
    <row r="330" spans="1:17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</row>
    <row r="331" spans="1:17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</row>
    <row r="332" spans="1:17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</row>
    <row r="333" spans="1:17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</row>
    <row r="334" spans="1:17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</row>
    <row r="335" spans="1:17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</row>
    <row r="336" spans="1:17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</row>
    <row r="337" spans="1:1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</row>
    <row r="338" spans="1:17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</row>
    <row r="339" spans="1:17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</row>
    <row r="340" spans="1:17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</row>
    <row r="341" spans="1:17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</row>
    <row r="342" spans="1:17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</row>
    <row r="343" spans="1:17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</row>
    <row r="344" spans="1:17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</row>
    <row r="345" spans="1:17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</row>
    <row r="346" spans="1:17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</row>
    <row r="347" spans="1:1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</row>
    <row r="348" spans="1:17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</row>
    <row r="349" spans="1:17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</row>
    <row r="350" spans="1:17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</row>
    <row r="351" spans="1:17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</row>
    <row r="352" spans="1:17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</row>
    <row r="353" spans="1:17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</row>
    <row r="354" spans="1:17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</row>
    <row r="355" spans="1:17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</row>
    <row r="356" spans="1:17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</row>
    <row r="357" spans="1:1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</row>
    <row r="358" spans="1:17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</row>
    <row r="359" spans="1:17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</row>
    <row r="360" spans="1:17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</row>
    <row r="361" spans="1:17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</row>
    <row r="362" spans="1:17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</row>
    <row r="363" spans="1:17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</row>
    <row r="364" spans="1:17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</row>
    <row r="365" spans="1:17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</row>
    <row r="366" spans="1:17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</row>
    <row r="367" spans="1:1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</row>
    <row r="368" spans="1:17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</row>
    <row r="369" spans="1:17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</row>
    <row r="370" spans="1:17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</row>
    <row r="371" spans="1:17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</row>
    <row r="372" spans="1:17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</row>
    <row r="373" spans="1:17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</row>
    <row r="374" spans="1:17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</row>
    <row r="375" spans="1:17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</row>
    <row r="376" spans="1:17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</row>
    <row r="377" spans="1:1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</row>
    <row r="378" spans="1:17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</row>
    <row r="379" spans="1:17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</row>
    <row r="380" spans="1:17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</row>
    <row r="381" spans="1:17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</row>
    <row r="382" spans="1:17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</row>
    <row r="383" spans="1:17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</row>
    <row r="384" spans="1:17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</row>
    <row r="385" spans="1:17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</row>
    <row r="386" spans="1:17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</row>
    <row r="387" spans="1:1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</row>
    <row r="388" spans="1:17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</row>
    <row r="389" spans="1:17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</row>
    <row r="390" spans="1:17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</row>
    <row r="391" spans="1:17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</row>
    <row r="392" spans="1:17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</row>
    <row r="393" spans="1:17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</row>
    <row r="394" spans="1:17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</row>
    <row r="395" spans="1:17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</row>
    <row r="396" spans="1:17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</row>
    <row r="397" spans="1:1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</row>
    <row r="398" spans="1:17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</row>
    <row r="399" spans="1:17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</row>
    <row r="400" spans="1:17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</row>
    <row r="401" spans="1:17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</row>
    <row r="402" spans="1:17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</row>
    <row r="403" spans="1:17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</row>
    <row r="404" spans="1:17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</row>
    <row r="405" spans="1:17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</row>
    <row r="406" spans="1:17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</row>
    <row r="407" spans="1:17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</row>
    <row r="408" spans="1:17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</row>
    <row r="409" spans="1:17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</row>
    <row r="410" spans="1:17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</row>
    <row r="411" spans="1:17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</row>
    <row r="412" spans="1:17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</row>
    <row r="413" spans="1:17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</row>
    <row r="414" spans="1:17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</row>
    <row r="415" spans="1:17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</row>
    <row r="416" spans="1:17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</row>
    <row r="417" spans="1:17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</row>
    <row r="418" spans="1:17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</row>
    <row r="419" spans="1:17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</row>
    <row r="420" spans="1:17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</row>
    <row r="421" spans="1:17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</row>
    <row r="422" spans="1:17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</row>
    <row r="423" spans="1:17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</row>
    <row r="424" spans="1:17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</row>
    <row r="425" spans="1:17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</row>
    <row r="426" spans="1:17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</row>
    <row r="427" spans="1:17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</row>
    <row r="428" spans="1:17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</row>
    <row r="429" spans="1:17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</row>
    <row r="430" spans="1:17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</row>
    <row r="431" spans="1:17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</row>
    <row r="432" spans="1:17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</row>
    <row r="433" spans="1:17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</row>
    <row r="434" spans="1:17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</row>
    <row r="435" spans="1:17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</row>
    <row r="436" spans="1:17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</row>
    <row r="437" spans="1:17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</row>
    <row r="438" spans="1:17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</row>
    <row r="439" spans="1:17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</row>
    <row r="440" spans="1:17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</row>
    <row r="441" spans="1:17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</row>
    <row r="442" spans="1:17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</row>
    <row r="443" spans="1:17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</row>
    <row r="444" spans="1:17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</row>
    <row r="445" spans="1:17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</row>
    <row r="446" spans="1:17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</row>
    <row r="447" spans="1:17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</row>
    <row r="448" spans="1:17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</row>
    <row r="449" spans="1:17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</row>
    <row r="450" spans="1:17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</row>
    <row r="451" spans="1:17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</row>
    <row r="452" spans="1:17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</row>
    <row r="453" spans="1:17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</row>
    <row r="454" spans="1:17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</row>
    <row r="455" spans="1:17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</row>
    <row r="456" spans="1:17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</row>
    <row r="457" spans="1:17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</row>
    <row r="458" spans="1:17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</row>
    <row r="459" spans="1:17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</row>
    <row r="460" spans="1:17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</row>
    <row r="461" spans="1:17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</row>
    <row r="462" spans="1:17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</row>
    <row r="463" spans="1:17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</row>
    <row r="464" spans="1:17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</row>
    <row r="465" spans="1:17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</row>
    <row r="466" spans="1:17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</row>
    <row r="467" spans="1:17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</row>
    <row r="468" spans="1:17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</row>
    <row r="469" spans="1:17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</row>
    <row r="470" spans="1:17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</row>
    <row r="471" spans="1:17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</row>
    <row r="472" spans="1:17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</row>
    <row r="473" spans="1:17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</row>
    <row r="474" spans="1:17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</row>
    <row r="475" spans="1:17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</row>
    <row r="476" spans="1:17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</row>
    <row r="477" spans="1:17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</row>
    <row r="478" spans="1:17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</row>
    <row r="479" spans="1:17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</row>
    <row r="480" spans="1:17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</row>
    <row r="481" spans="1:17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</row>
    <row r="482" spans="1:17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</row>
    <row r="483" spans="1:17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</row>
    <row r="484" spans="1:17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</row>
    <row r="485" spans="1:17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</row>
    <row r="486" spans="1:17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</row>
    <row r="487" spans="1:17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</row>
    <row r="488" spans="1:17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</row>
    <row r="489" spans="1:17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</row>
    <row r="490" spans="1:17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</row>
    <row r="491" spans="1:17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</row>
    <row r="492" spans="1:17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</row>
    <row r="493" spans="1:17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</row>
    <row r="494" spans="1:17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</row>
    <row r="495" spans="1:17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</row>
    <row r="496" spans="1:17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</row>
    <row r="497" spans="1:17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</row>
    <row r="498" spans="1:17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</row>
    <row r="499" spans="1:17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</row>
    <row r="500" spans="1:17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</row>
    <row r="501" spans="1:17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</row>
    <row r="502" spans="1:17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 spans="1:17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 spans="1:17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1:17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1:17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1:17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1:17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1:17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1:17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1:17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1:17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1:17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1:17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1:17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1:17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1:17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1:17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1:17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1:17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1:17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1:17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1:17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1:17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1:17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1:17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1:17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1:17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1:17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1:17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1:17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1:17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1:17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1:17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1:17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1:17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1:17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1:17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1:17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1:17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1:17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1:17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1:17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1:17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1:17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1:17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1:17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1:17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1:17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1:17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1:17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1:17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1:17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1:17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1:17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1:17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1:17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1:17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1:17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1:17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1:17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1:17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1:17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1:17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1:17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1:17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1:17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1:17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1:17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1:17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1:17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1:17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1:17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1:17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1:17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1:17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1:17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1:17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1:17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1:17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1:17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1:17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1:17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1:17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1:17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1:17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1:17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1:17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1:17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1:17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1:17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1:17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1:17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1:17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1:17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1:17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1:17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1:17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1:17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1:17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1:17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1:17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1:17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1:17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1:17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1:17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1:17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1:17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1:17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1:17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1:17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1:17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1:17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1:17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1:17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1:17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1:17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1:17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1:17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1:17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1:17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1:17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1:17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1:17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1:17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1:17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1:17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1:17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1:17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1:17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1:17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1:17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1:17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1:17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1:17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1:17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1:17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1:17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1:17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1:17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1:17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1:17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1:17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1:17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1:17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1:17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1:17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1:17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1:17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1:17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1:17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1:17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1:17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1:17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1:17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1:17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1:17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1:17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1:17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1:17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1:17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1:17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1:17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1:17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1:17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1:17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1:17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1:17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1:17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1:17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1:17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1:17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1:17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1:17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1:17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1:17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1:17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1:17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1:17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1:17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1:17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1:17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1:17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1:17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1:17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1:17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1:17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1:17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1:17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1:17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1:17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1:17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1:17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1:17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1:17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1:17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1:17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1:17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1:17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1:17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1:17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1:17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1:17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1:17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1:17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1:17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1:17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1:17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1:17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1:17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1:17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1:17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1:17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1:17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1:17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1:17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1:17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1:17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1:17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1:17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1:17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1:17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1:17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1:17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1:17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1:17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1:17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1:17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1:17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1:17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1:17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1:17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1:17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1:17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1:17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1:17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1:17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1:17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1:17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1:17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1:17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1:17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1:17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1:17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1:17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1:17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1:17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1:17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1:17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1:17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1:17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1:17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1:17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1:17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1:17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1:17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1:17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1:17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1:17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1:17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1:17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1:17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1:17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1:17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1:17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1:17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1:17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1:17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1:17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1:17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1:17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1:17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1:17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1:17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1:17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1:17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1:17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1:17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1:17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1:17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1:17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1:17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1:17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1:17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1:17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1:17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1:17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1:17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1:17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1:17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1:17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1:17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1:17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1:17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1:17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1:17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1:17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1:17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1:17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1:17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1:17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1:17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1:17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1:17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1:17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1:17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1:17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1:17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1:17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1:17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1:17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1:17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1:17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1:17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1:17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1:17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1:17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1:17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1:17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1:17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1:17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1:17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1:17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1:17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1:17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1:17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1:17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1:17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1:17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1:17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1:17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1:17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1:17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1:17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1:17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1:17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1:17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1:17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1:17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1:17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1:17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1:17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1:17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1:17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1:17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1:17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1:17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1:17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1:17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1:17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1:17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1:17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1:17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1:17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1:17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1:17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1:17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1:17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1:17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1:17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1:17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1:17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1:17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1:17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1:17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1:17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1:17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1:17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1:17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1:17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1:17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1:17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1:17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1:17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1:17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1:17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1:17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1:17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1:17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1:17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1:17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1:17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1:17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1:17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1:17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1:17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1:17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1:17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1:17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1:17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1:17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1:17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1:17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1:17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1:17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1:17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1:17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1:17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1:17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1:17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1:17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1:17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1:17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1:17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1:17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1:17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1:17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1:17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1:17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1:17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1:17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1:17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1:17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1:17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1:17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1:17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1:17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1:17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1:17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1:17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1:17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1:17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1:17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1:17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1:17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1:17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1:17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1:17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1:17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1:17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1:17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1:17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1:17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1:17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1:17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1:17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1:17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1:17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1:17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1:17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1:17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1:17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1:17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1:17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1:17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1:17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1:17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1:17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1:17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1:17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1:17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1:17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1:17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1:17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1:17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1:17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1:17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1:17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1:17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1:17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1:17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1:17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1:17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1:17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1:17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1:17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1:17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1:17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1:17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1:17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1:17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1:17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1:17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1:17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1:17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1:17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1:17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1:17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1:17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1:17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1:17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1:17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1:17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1:17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1:17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1:17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1:17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1:17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1:17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1:17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1:17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1:17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1:17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1:17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1:17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1:17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1:17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1:17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1:17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1:17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  <row r="1001" spans="1:17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</row>
    <row r="1002" spans="1:17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</row>
    <row r="1003" spans="1:17" ht="14.2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</row>
    <row r="1004" spans="1:17" ht="14.2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</row>
    <row r="1005" spans="1:17" ht="14.2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</row>
    <row r="1006" spans="1:17" ht="14.2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</row>
    <row r="1007" spans="1:17" ht="14.25" customHeight="1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</row>
    <row r="1008" spans="1:17" ht="14.25" customHeight="1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</row>
    <row r="1009" spans="1:17" ht="14.25" customHeight="1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</row>
    <row r="1010" spans="1:17" ht="14.25" customHeight="1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</row>
    <row r="1011" spans="1:17" ht="14.25" customHeight="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</row>
    <row r="1012" spans="1:17" ht="14.25" customHeight="1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</row>
    <row r="1013" spans="1:17" ht="14.25" customHeight="1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</row>
    <row r="1014" spans="1:17" ht="14.25" customHeight="1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</row>
    <row r="1015" spans="1:17" ht="14.25" customHeight="1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</row>
    <row r="1016" spans="1:17" ht="14.25" customHeight="1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</row>
    <row r="1017" spans="1:17" ht="14.25" customHeight="1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</row>
    <row r="1018" spans="1:17" ht="14.25" customHeight="1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</row>
    <row r="1019" spans="1:17" ht="14.25" customHeight="1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</row>
    <row r="1020" spans="1:17" ht="14.25" customHeight="1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</row>
    <row r="1021" spans="1:17" ht="14.25" customHeight="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</row>
    <row r="1022" spans="1:17" ht="14.25" customHeight="1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</row>
    <row r="1023" spans="1:17" ht="14.25" customHeight="1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</row>
    <row r="1024" spans="1:17" ht="14.25" customHeight="1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</row>
    <row r="1025" spans="1:17" ht="14.25" customHeight="1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</row>
    <row r="1026" spans="1:17" ht="14.25" customHeight="1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</row>
    <row r="1027" spans="1:17" ht="14.25" customHeight="1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</row>
    <row r="1028" spans="1:17" ht="14.25" customHeight="1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</row>
    <row r="1029" spans="1:17" ht="14.25" customHeight="1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</row>
    <row r="1030" spans="1:17" ht="14.25" customHeight="1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</row>
    <row r="1031" spans="1:17" ht="14.25" customHeight="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</row>
    <row r="1032" spans="1:17" ht="14.25" customHeight="1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</row>
    <row r="1033" spans="1:17" ht="14.25" customHeight="1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</row>
    <row r="1034" spans="1:17" ht="14.25" customHeight="1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</row>
    <row r="1035" spans="1:17" ht="14.25" customHeight="1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</row>
    <row r="1036" spans="1:17" ht="14.25" customHeight="1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</row>
    <row r="1037" spans="1:17" ht="14.25" customHeight="1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</row>
    <row r="1038" spans="1:17" ht="14.25" customHeight="1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</row>
    <row r="1039" spans="1:17" ht="14.25" customHeight="1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</row>
    <row r="1040" spans="1:17" ht="14.25" customHeight="1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</row>
    <row r="1041" spans="1:17" ht="14.25" customHeight="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</row>
    <row r="1042" spans="1:17" ht="14.25" customHeight="1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</row>
    <row r="1043" spans="1:17" ht="14.25" customHeight="1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</row>
    <row r="1044" spans="1:17" ht="14.25" customHeight="1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</row>
    <row r="1045" spans="1:17" ht="14.25" customHeight="1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</row>
    <row r="1046" spans="1:17" ht="14.25" customHeight="1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</row>
    <row r="1047" spans="1:17" ht="14.25" customHeight="1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</row>
    <row r="1048" spans="1:17" ht="14.25" customHeight="1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</row>
    <row r="1049" spans="1:17" ht="14.25" customHeight="1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</row>
    <row r="1050" spans="1:17" ht="14.25" customHeight="1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</row>
    <row r="1051" spans="1:17" ht="14.25" customHeight="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</row>
    <row r="1052" spans="1:17" ht="14.25" customHeight="1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</row>
    <row r="1053" spans="1:17" ht="14.25" customHeight="1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</row>
    <row r="1054" spans="1:17" ht="14.25" customHeight="1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</row>
    <row r="1055" spans="1:17" ht="14.25" customHeight="1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</row>
    <row r="1056" spans="1:17" ht="14.25" customHeight="1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</row>
    <row r="1057" spans="1:17" ht="14.25" customHeight="1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</row>
    <row r="1058" spans="1:17" ht="14.25" customHeight="1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</row>
    <row r="1059" spans="1:17" ht="14.25" customHeight="1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</row>
    <row r="1060" spans="1:17" ht="14.25" customHeight="1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</row>
  </sheetData>
  <mergeCells count="28">
    <mergeCell ref="N148:N149"/>
    <mergeCell ref="O148:O149"/>
    <mergeCell ref="P148:P149"/>
    <mergeCell ref="Q148:Q149"/>
    <mergeCell ref="F148:F149"/>
    <mergeCell ref="G148:G149"/>
    <mergeCell ref="H148:H149"/>
    <mergeCell ref="L148:L149"/>
    <mergeCell ref="M148:M149"/>
    <mergeCell ref="A148:A149"/>
    <mergeCell ref="B148:B149"/>
    <mergeCell ref="C148:C149"/>
    <mergeCell ref="E148:E149"/>
    <mergeCell ref="D148:D149"/>
    <mergeCell ref="P142:P143"/>
    <mergeCell ref="Q142:Q143"/>
    <mergeCell ref="J142:J143"/>
    <mergeCell ref="K142:K143"/>
    <mergeCell ref="L142:L143"/>
    <mergeCell ref="M142:M143"/>
    <mergeCell ref="N142:N143"/>
    <mergeCell ref="O142:O143"/>
    <mergeCell ref="F142:F143"/>
    <mergeCell ref="A142:A143"/>
    <mergeCell ref="B142:B143"/>
    <mergeCell ref="C142:C143"/>
    <mergeCell ref="D142:D143"/>
    <mergeCell ref="E142:E143"/>
  </mergeCells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3"/>
  <sheetViews>
    <sheetView tabSelected="1" workbookViewId="0">
      <pane xSplit="1" ySplit="1" topLeftCell="B42" activePane="bottomRight" state="frozen"/>
      <selection pane="topRight" activeCell="B1" sqref="B1"/>
      <selection pane="bottomLeft" activeCell="A2" sqref="A2"/>
      <selection pane="bottomRight" activeCell="C54" sqref="C54"/>
    </sheetView>
  </sheetViews>
  <sheetFormatPr defaultColWidth="12.6640625" defaultRowHeight="15" customHeight="1"/>
  <cols>
    <col min="1" max="1" width="13.21875" customWidth="1"/>
    <col min="2" max="2" width="13.44140625" customWidth="1"/>
    <col min="3" max="3" width="29.6640625" customWidth="1"/>
    <col min="4" max="4" width="16.88671875" customWidth="1"/>
    <col min="5" max="6" width="16.21875" customWidth="1"/>
    <col min="7" max="7" width="19.44140625" customWidth="1"/>
    <col min="8" max="9" width="21.109375" customWidth="1"/>
    <col min="10" max="10" width="25" customWidth="1"/>
    <col min="11" max="13" width="18.77734375" customWidth="1"/>
    <col min="14" max="16" width="16.21875" customWidth="1"/>
    <col min="17" max="17" width="24.33203125" customWidth="1"/>
    <col min="18" max="18" width="21.44140625" customWidth="1"/>
    <col min="19" max="19" width="20.21875" customWidth="1"/>
    <col min="20" max="20" width="25.5546875" customWidth="1"/>
    <col min="21" max="26" width="8.6640625" customWidth="1"/>
  </cols>
  <sheetData>
    <row r="1" spans="1:26" ht="49.5" customHeight="1">
      <c r="A1" s="2" t="s">
        <v>102</v>
      </c>
      <c r="B1" s="2" t="s">
        <v>103</v>
      </c>
      <c r="C1" s="42" t="s">
        <v>460</v>
      </c>
      <c r="D1" s="2" t="s">
        <v>357</v>
      </c>
      <c r="E1" s="2" t="s">
        <v>358</v>
      </c>
      <c r="F1" s="2" t="s">
        <v>108</v>
      </c>
      <c r="G1" s="2" t="s">
        <v>110</v>
      </c>
      <c r="H1" s="2" t="s">
        <v>111</v>
      </c>
      <c r="I1" s="2" t="s">
        <v>359</v>
      </c>
      <c r="J1" s="2" t="s">
        <v>17</v>
      </c>
      <c r="K1" s="2" t="s">
        <v>360</v>
      </c>
      <c r="L1" s="2" t="s">
        <v>108</v>
      </c>
      <c r="M1" s="2" t="s">
        <v>113</v>
      </c>
      <c r="N1" s="2" t="s">
        <v>114</v>
      </c>
      <c r="O1" s="2" t="s">
        <v>361</v>
      </c>
      <c r="P1" s="2" t="s">
        <v>108</v>
      </c>
      <c r="Q1" s="2" t="s">
        <v>115</v>
      </c>
      <c r="R1" s="2" t="s">
        <v>362</v>
      </c>
      <c r="S1" s="2" t="s">
        <v>363</v>
      </c>
      <c r="T1" s="2" t="s">
        <v>364</v>
      </c>
      <c r="V1" s="28" t="s">
        <v>117</v>
      </c>
      <c r="W1" s="28" t="s">
        <v>118</v>
      </c>
    </row>
    <row r="2" spans="1:26" s="66" customFormat="1" ht="14.25" customHeight="1">
      <c r="A2" s="62">
        <v>51</v>
      </c>
      <c r="B2" s="60" t="s">
        <v>70</v>
      </c>
      <c r="C2" s="62" t="s">
        <v>365</v>
      </c>
      <c r="D2" s="62" t="s">
        <v>25</v>
      </c>
      <c r="E2" s="62">
        <f>200*60</f>
        <v>12000</v>
      </c>
      <c r="F2" s="62" t="s">
        <v>26</v>
      </c>
      <c r="G2" s="70">
        <f>850/60</f>
        <v>14.166666666666666</v>
      </c>
      <c r="H2" s="62" t="s">
        <v>29</v>
      </c>
      <c r="I2" s="62" t="s">
        <v>29</v>
      </c>
      <c r="J2" s="62" t="s">
        <v>26</v>
      </c>
      <c r="K2" s="62" t="s">
        <v>29</v>
      </c>
      <c r="L2" s="62" t="s">
        <v>29</v>
      </c>
      <c r="M2" s="62" t="s">
        <v>29</v>
      </c>
      <c r="N2" s="62" t="s">
        <v>29</v>
      </c>
      <c r="O2" s="62" t="s">
        <v>29</v>
      </c>
      <c r="P2" s="62" t="s">
        <v>29</v>
      </c>
      <c r="Q2" s="62" t="s">
        <v>366</v>
      </c>
      <c r="R2" s="62" t="s">
        <v>367</v>
      </c>
      <c r="S2" s="62" t="s">
        <v>525</v>
      </c>
      <c r="T2" s="62" t="s">
        <v>178</v>
      </c>
      <c r="U2" s="65"/>
      <c r="V2" s="65"/>
      <c r="W2" s="65"/>
      <c r="X2" s="65"/>
      <c r="Y2" s="65"/>
      <c r="Z2" s="65"/>
    </row>
    <row r="3" spans="1:26" s="66" customFormat="1" ht="14.25" customHeight="1">
      <c r="A3" s="62">
        <v>51</v>
      </c>
      <c r="B3" s="60" t="s">
        <v>70</v>
      </c>
      <c r="C3" s="62" t="s">
        <v>368</v>
      </c>
      <c r="D3" s="62" t="s">
        <v>25</v>
      </c>
      <c r="E3" s="62">
        <f>50*60</f>
        <v>3000</v>
      </c>
      <c r="F3" s="62" t="s">
        <v>26</v>
      </c>
      <c r="G3" s="70">
        <f>850/60</f>
        <v>14.166666666666666</v>
      </c>
      <c r="H3" s="62" t="s">
        <v>29</v>
      </c>
      <c r="I3" s="62" t="s">
        <v>29</v>
      </c>
      <c r="J3" s="62" t="s">
        <v>26</v>
      </c>
      <c r="K3" s="62"/>
      <c r="L3" s="62"/>
      <c r="M3" s="62"/>
      <c r="N3" s="62"/>
      <c r="O3" s="62"/>
      <c r="P3" s="62"/>
      <c r="Q3" s="62" t="s">
        <v>46</v>
      </c>
      <c r="R3" s="62" t="s">
        <v>46</v>
      </c>
      <c r="S3" s="62" t="s">
        <v>29</v>
      </c>
      <c r="T3" s="62" t="s">
        <v>152</v>
      </c>
      <c r="U3" s="65"/>
      <c r="V3" s="65"/>
      <c r="W3" s="65"/>
      <c r="X3" s="65"/>
      <c r="Y3" s="65"/>
      <c r="Z3" s="65"/>
    </row>
    <row r="4" spans="1:26" s="66" customFormat="1" ht="14.25" customHeight="1">
      <c r="A4" s="62">
        <v>51</v>
      </c>
      <c r="B4" s="60" t="s">
        <v>68</v>
      </c>
      <c r="C4" s="62" t="s">
        <v>365</v>
      </c>
      <c r="D4" s="62" t="s">
        <v>25</v>
      </c>
      <c r="E4" s="62">
        <v>30</v>
      </c>
      <c r="F4" s="62" t="s">
        <v>26</v>
      </c>
      <c r="G4" s="62">
        <v>150</v>
      </c>
      <c r="H4" s="62" t="s">
        <v>29</v>
      </c>
      <c r="I4" s="62" t="s">
        <v>29</v>
      </c>
      <c r="J4" s="62" t="s">
        <v>26</v>
      </c>
      <c r="K4" s="62"/>
      <c r="L4" s="62"/>
      <c r="M4" s="62"/>
      <c r="N4" s="62"/>
      <c r="O4" s="62"/>
      <c r="P4" s="62"/>
      <c r="Q4" s="62" t="s">
        <v>369</v>
      </c>
      <c r="R4" s="62" t="s">
        <v>367</v>
      </c>
      <c r="S4" s="62" t="s">
        <v>526</v>
      </c>
      <c r="T4" s="62" t="s">
        <v>29</v>
      </c>
      <c r="U4" s="65"/>
      <c r="V4" s="65"/>
      <c r="W4" s="65"/>
      <c r="X4" s="65"/>
      <c r="Y4" s="65"/>
      <c r="Z4" s="65"/>
    </row>
    <row r="5" spans="1:26" s="66" customFormat="1" ht="14.25" customHeight="1">
      <c r="A5" s="62">
        <v>52</v>
      </c>
      <c r="B5" s="62" t="s">
        <v>70</v>
      </c>
      <c r="C5" s="62" t="s">
        <v>370</v>
      </c>
      <c r="D5" s="62" t="s">
        <v>35</v>
      </c>
      <c r="E5" s="62">
        <f>1200*70</f>
        <v>84000</v>
      </c>
      <c r="F5" s="62" t="s">
        <v>26</v>
      </c>
      <c r="G5" s="62">
        <f>350/70</f>
        <v>5</v>
      </c>
      <c r="H5" s="70">
        <f>470/70</f>
        <v>6.7142857142857144</v>
      </c>
      <c r="I5" s="62" t="s">
        <v>29</v>
      </c>
      <c r="J5" s="62" t="s">
        <v>26</v>
      </c>
      <c r="K5" s="62" t="s">
        <v>29</v>
      </c>
      <c r="L5" s="62" t="s">
        <v>29</v>
      </c>
      <c r="M5" s="62" t="s">
        <v>29</v>
      </c>
      <c r="N5" s="62" t="s">
        <v>29</v>
      </c>
      <c r="O5" s="62" t="s">
        <v>29</v>
      </c>
      <c r="P5" s="62" t="s">
        <v>29</v>
      </c>
      <c r="Q5" s="62" t="s">
        <v>535</v>
      </c>
      <c r="R5" s="62" t="s">
        <v>536</v>
      </c>
      <c r="S5" s="60">
        <v>3000</v>
      </c>
      <c r="T5" s="62" t="s">
        <v>152</v>
      </c>
      <c r="U5" s="65"/>
      <c r="V5" s="65">
        <f>AVERAGE(G5:H5)/60</f>
        <v>9.7619047619047633E-2</v>
      </c>
      <c r="W5" s="65">
        <f>V5*E5</f>
        <v>8200.0000000000018</v>
      </c>
      <c r="X5" s="65"/>
      <c r="Y5" s="65"/>
      <c r="Z5" s="65"/>
    </row>
    <row r="6" spans="1:26" s="66" customFormat="1" ht="14.25" customHeight="1">
      <c r="A6" s="62">
        <v>52</v>
      </c>
      <c r="B6" s="62" t="s">
        <v>127</v>
      </c>
      <c r="C6" s="60" t="s">
        <v>372</v>
      </c>
      <c r="D6" s="60" t="s">
        <v>29</v>
      </c>
      <c r="E6" s="60" t="s">
        <v>29</v>
      </c>
      <c r="F6" s="62" t="s">
        <v>26</v>
      </c>
      <c r="G6" s="60" t="s">
        <v>29</v>
      </c>
      <c r="H6" s="60" t="s">
        <v>29</v>
      </c>
      <c r="I6" s="60" t="s">
        <v>29</v>
      </c>
      <c r="J6" s="62" t="s">
        <v>26</v>
      </c>
      <c r="K6" s="60">
        <v>500</v>
      </c>
      <c r="L6" s="60" t="s">
        <v>26</v>
      </c>
      <c r="M6" s="60">
        <f>170/20</f>
        <v>8.5</v>
      </c>
      <c r="N6" s="60" t="s">
        <v>29</v>
      </c>
      <c r="O6" s="60" t="s">
        <v>29</v>
      </c>
      <c r="P6" s="60" t="s">
        <v>29</v>
      </c>
      <c r="Q6" s="60" t="s">
        <v>373</v>
      </c>
      <c r="R6" s="60" t="s">
        <v>536</v>
      </c>
      <c r="S6" s="60">
        <v>10</v>
      </c>
      <c r="T6" s="62" t="s">
        <v>178</v>
      </c>
      <c r="U6" s="65"/>
      <c r="V6" s="65"/>
      <c r="W6" s="65"/>
      <c r="X6" s="65"/>
      <c r="Y6" s="65"/>
      <c r="Z6" s="65"/>
    </row>
    <row r="7" spans="1:26" s="66" customFormat="1" ht="31.2" customHeight="1">
      <c r="A7" s="60">
        <v>53</v>
      </c>
      <c r="B7" s="60" t="s">
        <v>70</v>
      </c>
      <c r="C7" s="60" t="s">
        <v>368</v>
      </c>
      <c r="D7" s="60" t="s">
        <v>42</v>
      </c>
      <c r="E7" s="15">
        <f>1650*60</f>
        <v>99000</v>
      </c>
      <c r="F7" s="60" t="s">
        <v>26</v>
      </c>
      <c r="G7" s="80">
        <f>250/60</f>
        <v>4.166666666666667</v>
      </c>
      <c r="H7" s="72">
        <f>300/60</f>
        <v>5</v>
      </c>
      <c r="I7" s="81">
        <f>294.25/60</f>
        <v>4.9041666666666668</v>
      </c>
      <c r="J7" s="61" t="s">
        <v>541</v>
      </c>
      <c r="K7" s="72" t="s">
        <v>29</v>
      </c>
      <c r="L7" s="72" t="s">
        <v>29</v>
      </c>
      <c r="M7" s="72" t="s">
        <v>29</v>
      </c>
      <c r="N7" s="72" t="s">
        <v>29</v>
      </c>
      <c r="O7" s="72" t="s">
        <v>29</v>
      </c>
      <c r="P7" s="72" t="s">
        <v>29</v>
      </c>
      <c r="Q7" s="15" t="s">
        <v>375</v>
      </c>
      <c r="R7" s="15" t="s">
        <v>376</v>
      </c>
      <c r="S7" s="15" t="s">
        <v>525</v>
      </c>
      <c r="T7" s="60" t="s">
        <v>284</v>
      </c>
      <c r="U7" s="65"/>
      <c r="V7" s="65"/>
      <c r="W7" s="65"/>
      <c r="X7" s="65"/>
      <c r="Y7" s="65"/>
      <c r="Z7" s="65"/>
    </row>
    <row r="8" spans="1:26" s="66" customFormat="1" ht="14.25" customHeight="1">
      <c r="A8" s="60">
        <v>53</v>
      </c>
      <c r="B8" s="60" t="s">
        <v>68</v>
      </c>
      <c r="C8" s="60" t="s">
        <v>377</v>
      </c>
      <c r="D8" s="60" t="s">
        <v>378</v>
      </c>
      <c r="E8" s="15">
        <v>50</v>
      </c>
      <c r="F8" s="60" t="s">
        <v>26</v>
      </c>
      <c r="G8" s="15">
        <v>140</v>
      </c>
      <c r="H8" s="15">
        <v>140</v>
      </c>
      <c r="I8" s="72" t="s">
        <v>29</v>
      </c>
      <c r="J8" s="62" t="s">
        <v>26</v>
      </c>
      <c r="K8" s="72" t="s">
        <v>29</v>
      </c>
      <c r="L8" s="72" t="s">
        <v>29</v>
      </c>
      <c r="M8" s="72" t="s">
        <v>29</v>
      </c>
      <c r="N8" s="72" t="s">
        <v>29</v>
      </c>
      <c r="O8" s="72" t="s">
        <v>29</v>
      </c>
      <c r="P8" s="72" t="s">
        <v>29</v>
      </c>
      <c r="Q8" s="15" t="s">
        <v>379</v>
      </c>
      <c r="R8" s="73" t="s">
        <v>29</v>
      </c>
      <c r="S8" s="73" t="s">
        <v>29</v>
      </c>
      <c r="T8" s="72" t="s">
        <v>29</v>
      </c>
      <c r="U8" s="65"/>
      <c r="V8" s="65"/>
      <c r="W8" s="65"/>
      <c r="X8" s="65"/>
      <c r="Y8" s="65"/>
      <c r="Z8" s="65"/>
    </row>
    <row r="9" spans="1:26" s="66" customFormat="1" ht="14.25" customHeight="1">
      <c r="A9" s="60">
        <v>53</v>
      </c>
      <c r="B9" s="60" t="s">
        <v>144</v>
      </c>
      <c r="C9" s="60" t="s">
        <v>377</v>
      </c>
      <c r="D9" s="60" t="s">
        <v>378</v>
      </c>
      <c r="E9" s="15">
        <v>100</v>
      </c>
      <c r="F9" s="60" t="s">
        <v>146</v>
      </c>
      <c r="G9" s="15">
        <v>70</v>
      </c>
      <c r="H9" s="15">
        <v>70</v>
      </c>
      <c r="I9" s="72" t="s">
        <v>29</v>
      </c>
      <c r="J9" s="62" t="s">
        <v>26</v>
      </c>
      <c r="K9" s="15">
        <v>100</v>
      </c>
      <c r="L9" s="73" t="s">
        <v>146</v>
      </c>
      <c r="M9" s="15">
        <v>70</v>
      </c>
      <c r="N9" s="15">
        <v>70</v>
      </c>
      <c r="O9" s="72" t="s">
        <v>29</v>
      </c>
      <c r="P9" s="72" t="s">
        <v>29</v>
      </c>
      <c r="Q9" s="15" t="s">
        <v>379</v>
      </c>
      <c r="R9" s="73" t="s">
        <v>29</v>
      </c>
      <c r="S9" s="73" t="s">
        <v>29</v>
      </c>
      <c r="T9" s="72" t="s">
        <v>29</v>
      </c>
      <c r="U9" s="65"/>
      <c r="V9" s="65"/>
      <c r="W9" s="65"/>
      <c r="X9" s="65"/>
      <c r="Y9" s="65"/>
      <c r="Z9" s="65"/>
    </row>
    <row r="10" spans="1:26" s="66" customFormat="1" ht="14.25" customHeight="1">
      <c r="A10" s="60">
        <v>53</v>
      </c>
      <c r="B10" s="60" t="s">
        <v>147</v>
      </c>
      <c r="C10" s="60" t="s">
        <v>377</v>
      </c>
      <c r="D10" s="60" t="s">
        <v>378</v>
      </c>
      <c r="E10" s="15">
        <v>35</v>
      </c>
      <c r="F10" s="60" t="s">
        <v>146</v>
      </c>
      <c r="G10" s="15">
        <v>55</v>
      </c>
      <c r="H10" s="15">
        <v>55</v>
      </c>
      <c r="I10" s="72" t="s">
        <v>29</v>
      </c>
      <c r="J10" s="62" t="s">
        <v>26</v>
      </c>
      <c r="K10" s="72" t="s">
        <v>29</v>
      </c>
      <c r="L10" s="72" t="s">
        <v>29</v>
      </c>
      <c r="M10" s="72" t="s">
        <v>29</v>
      </c>
      <c r="N10" s="72" t="s">
        <v>29</v>
      </c>
      <c r="O10" s="72" t="s">
        <v>29</v>
      </c>
      <c r="P10" s="72" t="s">
        <v>29</v>
      </c>
      <c r="Q10" s="15" t="s">
        <v>379</v>
      </c>
      <c r="R10" s="73" t="s">
        <v>29</v>
      </c>
      <c r="S10" s="73" t="s">
        <v>29</v>
      </c>
      <c r="T10" s="72" t="s">
        <v>29</v>
      </c>
      <c r="U10" s="65"/>
      <c r="V10" s="65"/>
      <c r="W10" s="65"/>
      <c r="X10" s="65"/>
      <c r="Y10" s="65"/>
      <c r="Z10" s="65"/>
    </row>
    <row r="11" spans="1:26" s="66" customFormat="1" ht="14.25" customHeight="1">
      <c r="A11" s="62">
        <v>54</v>
      </c>
      <c r="B11" s="62" t="s">
        <v>70</v>
      </c>
      <c r="C11" s="62" t="s">
        <v>380</v>
      </c>
      <c r="D11" s="62" t="s">
        <v>381</v>
      </c>
      <c r="E11" s="75">
        <f>400*60</f>
        <v>24000</v>
      </c>
      <c r="F11" s="62" t="s">
        <v>26</v>
      </c>
      <c r="G11" s="76">
        <f>250/60</f>
        <v>4.166666666666667</v>
      </c>
      <c r="H11" s="76">
        <f>340/60</f>
        <v>5.666666666666667</v>
      </c>
      <c r="I11" s="62" t="s">
        <v>29</v>
      </c>
      <c r="J11" s="62" t="s">
        <v>26</v>
      </c>
      <c r="K11" s="62" t="s">
        <v>29</v>
      </c>
      <c r="L11" s="62" t="s">
        <v>29</v>
      </c>
      <c r="M11" s="62" t="s">
        <v>29</v>
      </c>
      <c r="N11" s="62" t="s">
        <v>29</v>
      </c>
      <c r="O11" s="62"/>
      <c r="P11" s="62"/>
      <c r="Q11" s="75" t="s">
        <v>382</v>
      </c>
      <c r="R11" s="75" t="s">
        <v>29</v>
      </c>
      <c r="S11" s="75">
        <v>2500</v>
      </c>
      <c r="T11" s="75" t="s">
        <v>383</v>
      </c>
      <c r="U11" s="65"/>
      <c r="V11" s="65"/>
      <c r="W11" s="65"/>
      <c r="X11" s="65"/>
      <c r="Y11" s="65"/>
      <c r="Z11" s="65"/>
    </row>
    <row r="12" spans="1:26" s="66" customFormat="1" ht="14.25" customHeight="1">
      <c r="A12" s="62">
        <v>54</v>
      </c>
      <c r="B12" s="62" t="s">
        <v>68</v>
      </c>
      <c r="C12" s="62" t="s">
        <v>368</v>
      </c>
      <c r="D12" s="62" t="s">
        <v>381</v>
      </c>
      <c r="E12" s="75">
        <f>AVERAGE(500,600)</f>
        <v>550</v>
      </c>
      <c r="F12" s="62" t="s">
        <v>26</v>
      </c>
      <c r="G12" s="75">
        <v>40</v>
      </c>
      <c r="H12" s="75">
        <v>100</v>
      </c>
      <c r="I12" s="62" t="s">
        <v>29</v>
      </c>
      <c r="J12" s="62" t="s">
        <v>26</v>
      </c>
      <c r="K12" s="75">
        <f>AVERAGE(500,600)</f>
        <v>550</v>
      </c>
      <c r="L12" s="75" t="s">
        <v>26</v>
      </c>
      <c r="M12" s="75">
        <v>40</v>
      </c>
      <c r="N12" s="75">
        <v>100</v>
      </c>
      <c r="O12" s="62" t="s">
        <v>29</v>
      </c>
      <c r="P12" s="62" t="s">
        <v>29</v>
      </c>
      <c r="Q12" s="75" t="s">
        <v>382</v>
      </c>
      <c r="R12" s="75" t="s">
        <v>29</v>
      </c>
      <c r="S12" s="75">
        <v>2500</v>
      </c>
      <c r="T12" s="75" t="s">
        <v>383</v>
      </c>
      <c r="U12" s="65"/>
      <c r="V12" s="65"/>
      <c r="W12" s="65"/>
      <c r="X12" s="65"/>
      <c r="Y12" s="65"/>
      <c r="Z12" s="65"/>
    </row>
    <row r="13" spans="1:26" s="66" customFormat="1" ht="34.5" customHeight="1">
      <c r="A13" s="62">
        <v>55</v>
      </c>
      <c r="B13" s="62" t="s">
        <v>70</v>
      </c>
      <c r="C13" s="61" t="s">
        <v>384</v>
      </c>
      <c r="D13" s="62" t="s">
        <v>60</v>
      </c>
      <c r="E13" s="75">
        <f>1000*60</f>
        <v>60000</v>
      </c>
      <c r="F13" s="62" t="s">
        <v>26</v>
      </c>
      <c r="G13" s="82">
        <f>250/60</f>
        <v>4.166666666666667</v>
      </c>
      <c r="H13" s="62" t="s">
        <v>29</v>
      </c>
      <c r="I13" s="70">
        <f>280/60</f>
        <v>4.666666666666667</v>
      </c>
      <c r="J13" s="61" t="s">
        <v>543</v>
      </c>
      <c r="K13" s="62" t="s">
        <v>29</v>
      </c>
      <c r="L13" s="62" t="s">
        <v>29</v>
      </c>
      <c r="M13" s="62" t="s">
        <v>29</v>
      </c>
      <c r="N13" s="62" t="s">
        <v>29</v>
      </c>
      <c r="O13" s="62" t="s">
        <v>29</v>
      </c>
      <c r="P13" s="62" t="s">
        <v>29</v>
      </c>
      <c r="Q13" s="61" t="s">
        <v>385</v>
      </c>
      <c r="R13" s="62" t="s">
        <v>51</v>
      </c>
      <c r="S13" s="62" t="s">
        <v>29</v>
      </c>
      <c r="T13" s="62" t="s">
        <v>386</v>
      </c>
      <c r="U13" s="65"/>
      <c r="V13" s="65"/>
      <c r="W13" s="65"/>
      <c r="X13" s="65"/>
      <c r="Y13" s="65"/>
      <c r="Z13" s="65"/>
    </row>
    <row r="14" spans="1:26" s="66" customFormat="1" ht="30.75" customHeight="1">
      <c r="A14" s="62">
        <v>55</v>
      </c>
      <c r="B14" s="62" t="s">
        <v>70</v>
      </c>
      <c r="C14" s="61" t="s">
        <v>387</v>
      </c>
      <c r="D14" s="62" t="s">
        <v>388</v>
      </c>
      <c r="E14" s="75">
        <f>4800*60</f>
        <v>288000</v>
      </c>
      <c r="F14" s="62" t="s">
        <v>26</v>
      </c>
      <c r="G14" s="83">
        <f>210/60</f>
        <v>3.5</v>
      </c>
      <c r="H14" s="62">
        <f>300/60</f>
        <v>5</v>
      </c>
      <c r="I14" s="62">
        <f>285/60</f>
        <v>4.75</v>
      </c>
      <c r="J14" s="61" t="s">
        <v>542</v>
      </c>
      <c r="K14" s="62" t="s">
        <v>29</v>
      </c>
      <c r="L14" s="62" t="s">
        <v>29</v>
      </c>
      <c r="M14" s="62" t="s">
        <v>29</v>
      </c>
      <c r="N14" s="62" t="s">
        <v>29</v>
      </c>
      <c r="O14" s="62" t="s">
        <v>29</v>
      </c>
      <c r="P14" s="62" t="s">
        <v>29</v>
      </c>
      <c r="Q14" s="61" t="s">
        <v>389</v>
      </c>
      <c r="R14" s="62" t="s">
        <v>51</v>
      </c>
      <c r="S14" s="61" t="s">
        <v>390</v>
      </c>
      <c r="T14" s="62" t="s">
        <v>391</v>
      </c>
      <c r="U14" s="65"/>
      <c r="V14" s="65"/>
      <c r="W14" s="65"/>
      <c r="X14" s="65"/>
      <c r="Y14" s="65"/>
      <c r="Z14" s="65"/>
    </row>
    <row r="15" spans="1:26" s="66" customFormat="1" ht="13.5" customHeight="1">
      <c r="A15" s="62">
        <v>55</v>
      </c>
      <c r="B15" s="62" t="s">
        <v>68</v>
      </c>
      <c r="C15" s="61" t="s">
        <v>392</v>
      </c>
      <c r="D15" s="62" t="s">
        <v>393</v>
      </c>
      <c r="E15" s="75">
        <f>55*1000</f>
        <v>55000</v>
      </c>
      <c r="F15" s="62" t="s">
        <v>26</v>
      </c>
      <c r="G15" s="75">
        <v>120</v>
      </c>
      <c r="H15" s="75">
        <v>135</v>
      </c>
      <c r="I15" s="62" t="s">
        <v>29</v>
      </c>
      <c r="J15" s="62" t="s">
        <v>29</v>
      </c>
      <c r="K15" s="62" t="s">
        <v>29</v>
      </c>
      <c r="L15" s="62" t="s">
        <v>29</v>
      </c>
      <c r="M15" s="62" t="s">
        <v>29</v>
      </c>
      <c r="N15" s="62" t="s">
        <v>29</v>
      </c>
      <c r="O15" s="62" t="s">
        <v>29</v>
      </c>
      <c r="P15" s="62" t="s">
        <v>29</v>
      </c>
      <c r="Q15" s="61" t="s">
        <v>386</v>
      </c>
      <c r="R15" s="62" t="s">
        <v>51</v>
      </c>
      <c r="S15" s="62" t="s">
        <v>29</v>
      </c>
      <c r="T15" s="62" t="s">
        <v>386</v>
      </c>
      <c r="U15" s="65"/>
      <c r="V15" s="65"/>
      <c r="W15" s="65"/>
      <c r="X15" s="65"/>
      <c r="Y15" s="65"/>
      <c r="Z15" s="65"/>
    </row>
    <row r="16" spans="1:26" s="66" customFormat="1" ht="13.8" customHeight="1">
      <c r="A16" s="62">
        <v>55</v>
      </c>
      <c r="B16" s="62" t="s">
        <v>68</v>
      </c>
      <c r="C16" s="61" t="s">
        <v>394</v>
      </c>
      <c r="D16" s="62" t="s">
        <v>395</v>
      </c>
      <c r="E16" s="75">
        <f>18*1000</f>
        <v>18000</v>
      </c>
      <c r="F16" s="62" t="s">
        <v>26</v>
      </c>
      <c r="G16" s="75">
        <v>120</v>
      </c>
      <c r="H16" s="75">
        <v>135</v>
      </c>
      <c r="I16" s="62" t="s">
        <v>29</v>
      </c>
      <c r="J16" s="62" t="s">
        <v>29</v>
      </c>
      <c r="K16" s="62" t="s">
        <v>29</v>
      </c>
      <c r="L16" s="62" t="s">
        <v>29</v>
      </c>
      <c r="M16" s="62" t="s">
        <v>29</v>
      </c>
      <c r="N16" s="62" t="s">
        <v>29</v>
      </c>
      <c r="O16" s="62" t="s">
        <v>29</v>
      </c>
      <c r="P16" s="62" t="s">
        <v>29</v>
      </c>
      <c r="Q16" s="61" t="s">
        <v>396</v>
      </c>
      <c r="R16" s="62" t="s">
        <v>29</v>
      </c>
      <c r="S16" s="62" t="s">
        <v>397</v>
      </c>
      <c r="T16" s="62" t="s">
        <v>152</v>
      </c>
      <c r="U16" s="65"/>
      <c r="V16" s="65"/>
      <c r="W16" s="65"/>
      <c r="X16" s="65"/>
      <c r="Y16" s="65"/>
      <c r="Z16" s="65"/>
    </row>
    <row r="17" spans="1:26" s="66" customFormat="1" ht="14.25" customHeight="1">
      <c r="A17" s="62">
        <v>55</v>
      </c>
      <c r="B17" s="62" t="s">
        <v>68</v>
      </c>
      <c r="C17" s="61" t="s">
        <v>398</v>
      </c>
      <c r="D17" s="62" t="s">
        <v>25</v>
      </c>
      <c r="E17" s="75">
        <f>8*1000</f>
        <v>8000</v>
      </c>
      <c r="F17" s="62" t="s">
        <v>26</v>
      </c>
      <c r="G17" s="75">
        <v>120</v>
      </c>
      <c r="H17" s="75">
        <v>135</v>
      </c>
      <c r="I17" s="62" t="s">
        <v>29</v>
      </c>
      <c r="J17" s="62" t="s">
        <v>29</v>
      </c>
      <c r="K17" s="62" t="s">
        <v>29</v>
      </c>
      <c r="L17" s="62" t="s">
        <v>29</v>
      </c>
      <c r="M17" s="62" t="s">
        <v>29</v>
      </c>
      <c r="N17" s="62" t="s">
        <v>29</v>
      </c>
      <c r="O17" s="62" t="s">
        <v>29</v>
      </c>
      <c r="P17" s="62" t="s">
        <v>29</v>
      </c>
      <c r="Q17" s="61" t="s">
        <v>399</v>
      </c>
      <c r="R17" s="62" t="s">
        <v>29</v>
      </c>
      <c r="S17" s="62" t="s">
        <v>400</v>
      </c>
      <c r="T17" s="62" t="s">
        <v>401</v>
      </c>
      <c r="U17" s="65"/>
      <c r="V17" s="65"/>
      <c r="W17" s="65"/>
      <c r="X17" s="65"/>
      <c r="Y17" s="65"/>
      <c r="Z17" s="65"/>
    </row>
    <row r="18" spans="1:26" s="66" customFormat="1" ht="14.25" customHeight="1">
      <c r="A18" s="62">
        <v>55</v>
      </c>
      <c r="B18" s="62" t="s">
        <v>68</v>
      </c>
      <c r="C18" s="61" t="s">
        <v>402</v>
      </c>
      <c r="D18" s="62" t="s">
        <v>100</v>
      </c>
      <c r="E18" s="75">
        <v>4500</v>
      </c>
      <c r="F18" s="62" t="s">
        <v>26</v>
      </c>
      <c r="G18" s="75">
        <v>120</v>
      </c>
      <c r="H18" s="75">
        <v>135</v>
      </c>
      <c r="I18" s="62" t="s">
        <v>29</v>
      </c>
      <c r="J18" s="62" t="s">
        <v>29</v>
      </c>
      <c r="K18" s="62" t="s">
        <v>29</v>
      </c>
      <c r="L18" s="62" t="s">
        <v>29</v>
      </c>
      <c r="M18" s="62" t="s">
        <v>29</v>
      </c>
      <c r="N18" s="62" t="s">
        <v>29</v>
      </c>
      <c r="O18" s="62" t="s">
        <v>29</v>
      </c>
      <c r="P18" s="62" t="s">
        <v>29</v>
      </c>
      <c r="Q18" s="61" t="s">
        <v>403</v>
      </c>
      <c r="R18" s="62" t="s">
        <v>29</v>
      </c>
      <c r="S18" s="62" t="s">
        <v>29</v>
      </c>
      <c r="T18" s="62" t="s">
        <v>371</v>
      </c>
      <c r="U18" s="65"/>
      <c r="V18" s="65"/>
      <c r="W18" s="65"/>
      <c r="X18" s="65"/>
      <c r="Y18" s="65"/>
      <c r="Z18" s="65"/>
    </row>
    <row r="19" spans="1:26" ht="14.25" customHeight="1">
      <c r="A19" s="7">
        <v>56</v>
      </c>
      <c r="B19" s="5" t="s">
        <v>68</v>
      </c>
      <c r="C19" s="6" t="s">
        <v>404</v>
      </c>
      <c r="D19" s="7" t="s">
        <v>405</v>
      </c>
      <c r="E19" s="7">
        <f>34*1000</f>
        <v>34000</v>
      </c>
      <c r="F19" s="7" t="s">
        <v>26</v>
      </c>
      <c r="G19" s="29">
        <v>125</v>
      </c>
      <c r="H19" s="7">
        <f>AVERAGE(130,155)</f>
        <v>142.5</v>
      </c>
      <c r="I19" s="7" t="s">
        <v>29</v>
      </c>
      <c r="J19" s="7" t="s">
        <v>29</v>
      </c>
      <c r="K19" s="7" t="s">
        <v>29</v>
      </c>
      <c r="L19" s="7" t="s">
        <v>29</v>
      </c>
      <c r="M19" s="7" t="s">
        <v>29</v>
      </c>
      <c r="N19" s="7" t="s">
        <v>29</v>
      </c>
      <c r="O19" s="7" t="s">
        <v>29</v>
      </c>
      <c r="P19" s="7" t="s">
        <v>29</v>
      </c>
      <c r="Q19" s="7" t="s">
        <v>406</v>
      </c>
      <c r="R19" s="7" t="s">
        <v>29</v>
      </c>
      <c r="S19" s="7" t="s">
        <v>29</v>
      </c>
      <c r="T19" s="7" t="s">
        <v>29</v>
      </c>
      <c r="U19" s="8"/>
      <c r="V19" s="8"/>
      <c r="W19" s="8"/>
      <c r="X19" s="8"/>
      <c r="Y19" s="8"/>
      <c r="Z19" s="8"/>
    </row>
    <row r="20" spans="1:26" ht="14.25" customHeight="1">
      <c r="A20" s="7">
        <v>56</v>
      </c>
      <c r="B20" s="5" t="s">
        <v>68</v>
      </c>
      <c r="C20" s="6" t="s">
        <v>407</v>
      </c>
      <c r="D20" s="6" t="s">
        <v>95</v>
      </c>
      <c r="E20" s="7">
        <f>17*1000</f>
        <v>17000</v>
      </c>
      <c r="F20" s="7" t="s">
        <v>26</v>
      </c>
      <c r="G20" s="29">
        <v>140</v>
      </c>
      <c r="H20" s="7">
        <f>AVERAGE(145,155)</f>
        <v>150</v>
      </c>
      <c r="I20" s="7" t="s">
        <v>29</v>
      </c>
      <c r="J20" s="7" t="s">
        <v>29</v>
      </c>
      <c r="K20" s="7" t="s">
        <v>29</v>
      </c>
      <c r="L20" s="7" t="s">
        <v>29</v>
      </c>
      <c r="M20" s="7" t="s">
        <v>29</v>
      </c>
      <c r="N20" s="7" t="s">
        <v>29</v>
      </c>
      <c r="O20" s="7" t="s">
        <v>29</v>
      </c>
      <c r="P20" s="7" t="s">
        <v>29</v>
      </c>
      <c r="Q20" s="7" t="s">
        <v>152</v>
      </c>
      <c r="R20" s="7" t="s">
        <v>29</v>
      </c>
      <c r="S20" s="7" t="s">
        <v>29</v>
      </c>
      <c r="T20" s="7" t="s">
        <v>29</v>
      </c>
      <c r="U20" s="8"/>
      <c r="V20" s="8"/>
      <c r="W20" s="8"/>
      <c r="X20" s="8"/>
      <c r="Y20" s="8"/>
      <c r="Z20" s="8"/>
    </row>
    <row r="21" spans="1:26" ht="14.25" customHeight="1">
      <c r="A21" s="7">
        <v>56</v>
      </c>
      <c r="B21" s="5" t="s">
        <v>68</v>
      </c>
      <c r="C21" s="7" t="s">
        <v>408</v>
      </c>
      <c r="D21" s="7" t="s">
        <v>409</v>
      </c>
      <c r="E21" s="7">
        <f>3.5*1000</f>
        <v>3500</v>
      </c>
      <c r="F21" s="7" t="s">
        <v>26</v>
      </c>
      <c r="G21" s="7">
        <v>120</v>
      </c>
      <c r="H21" s="7" t="s">
        <v>29</v>
      </c>
      <c r="I21" s="7" t="s">
        <v>29</v>
      </c>
      <c r="J21" s="7" t="s">
        <v>29</v>
      </c>
      <c r="K21" s="7" t="s">
        <v>29</v>
      </c>
      <c r="L21" s="7" t="s">
        <v>29</v>
      </c>
      <c r="M21" s="7" t="s">
        <v>29</v>
      </c>
      <c r="N21" s="7" t="s">
        <v>29</v>
      </c>
      <c r="O21" s="7" t="s">
        <v>29</v>
      </c>
      <c r="P21" s="7" t="s">
        <v>29</v>
      </c>
      <c r="Q21" s="7" t="s">
        <v>406</v>
      </c>
      <c r="R21" s="7" t="s">
        <v>29</v>
      </c>
      <c r="S21" s="7" t="s">
        <v>29</v>
      </c>
      <c r="T21" s="7" t="s">
        <v>29</v>
      </c>
      <c r="U21" s="8"/>
      <c r="V21" s="8"/>
      <c r="W21" s="8"/>
      <c r="X21" s="8"/>
      <c r="Y21" s="8"/>
      <c r="Z21" s="8"/>
    </row>
    <row r="22" spans="1:26" ht="14.25" customHeight="1">
      <c r="A22" s="7">
        <v>56</v>
      </c>
      <c r="B22" s="5" t="s">
        <v>68</v>
      </c>
      <c r="C22" s="7" t="s">
        <v>410</v>
      </c>
      <c r="D22" s="7" t="s">
        <v>71</v>
      </c>
      <c r="E22" s="7">
        <f>5*1000</f>
        <v>5000</v>
      </c>
      <c r="F22" s="7" t="s">
        <v>26</v>
      </c>
      <c r="G22" s="7">
        <v>140</v>
      </c>
      <c r="H22" s="7" t="s">
        <v>29</v>
      </c>
      <c r="I22" s="7" t="s">
        <v>29</v>
      </c>
      <c r="J22" s="7" t="s">
        <v>29</v>
      </c>
      <c r="K22" s="7" t="s">
        <v>29</v>
      </c>
      <c r="L22" s="7" t="s">
        <v>29</v>
      </c>
      <c r="M22" s="7" t="s">
        <v>29</v>
      </c>
      <c r="N22" s="7" t="s">
        <v>29</v>
      </c>
      <c r="O22" s="7" t="s">
        <v>29</v>
      </c>
      <c r="P22" s="7" t="s">
        <v>29</v>
      </c>
      <c r="Q22" s="7" t="s">
        <v>411</v>
      </c>
      <c r="R22" s="7" t="s">
        <v>29</v>
      </c>
      <c r="S22" s="7" t="s">
        <v>29</v>
      </c>
      <c r="T22" s="7" t="s">
        <v>29</v>
      </c>
      <c r="U22" s="8"/>
      <c r="V22" s="8"/>
      <c r="W22" s="8"/>
      <c r="X22" s="8"/>
      <c r="Y22" s="8"/>
      <c r="Z22" s="8"/>
    </row>
    <row r="23" spans="1:26" ht="14.25" customHeight="1">
      <c r="A23" s="7">
        <v>56</v>
      </c>
      <c r="B23" s="7" t="s">
        <v>70</v>
      </c>
      <c r="C23" s="7" t="s">
        <v>368</v>
      </c>
      <c r="D23" s="7" t="s">
        <v>71</v>
      </c>
      <c r="E23" s="7" t="s">
        <v>29</v>
      </c>
      <c r="F23" s="7" t="s">
        <v>29</v>
      </c>
      <c r="G23" s="7">
        <v>420</v>
      </c>
      <c r="H23" s="7">
        <v>420</v>
      </c>
      <c r="I23" s="7" t="s">
        <v>29</v>
      </c>
      <c r="J23" s="7" t="s">
        <v>374</v>
      </c>
      <c r="K23" s="7" t="s">
        <v>29</v>
      </c>
      <c r="L23" s="7" t="s">
        <v>29</v>
      </c>
      <c r="M23" s="7" t="s">
        <v>29</v>
      </c>
      <c r="N23" s="7" t="s">
        <v>29</v>
      </c>
      <c r="O23" s="7" t="s">
        <v>29</v>
      </c>
      <c r="P23" s="7" t="s">
        <v>29</v>
      </c>
      <c r="Q23" s="7" t="s">
        <v>412</v>
      </c>
      <c r="R23" s="7" t="s">
        <v>29</v>
      </c>
      <c r="S23" s="7" t="s">
        <v>29</v>
      </c>
      <c r="T23" s="7" t="s">
        <v>29</v>
      </c>
      <c r="U23" s="8"/>
      <c r="V23" s="8"/>
      <c r="W23" s="8"/>
      <c r="X23" s="8"/>
      <c r="Y23" s="8"/>
      <c r="Z23" s="8"/>
    </row>
    <row r="24" spans="1:26" ht="14.25" customHeight="1">
      <c r="A24" s="7">
        <v>56</v>
      </c>
      <c r="B24" s="7" t="s">
        <v>70</v>
      </c>
      <c r="C24" s="6" t="s">
        <v>407</v>
      </c>
      <c r="D24" s="7" t="s">
        <v>71</v>
      </c>
      <c r="E24" s="7">
        <f>400*60</f>
        <v>24000</v>
      </c>
      <c r="F24" s="7" t="s">
        <v>26</v>
      </c>
      <c r="G24" s="7">
        <v>390</v>
      </c>
      <c r="H24" s="7" t="s">
        <v>29</v>
      </c>
      <c r="I24" s="7" t="s">
        <v>29</v>
      </c>
      <c r="J24" s="7" t="s">
        <v>29</v>
      </c>
      <c r="K24" s="7" t="s">
        <v>29</v>
      </c>
      <c r="L24" s="7" t="s">
        <v>29</v>
      </c>
      <c r="M24" s="7" t="s">
        <v>29</v>
      </c>
      <c r="N24" s="7" t="s">
        <v>29</v>
      </c>
      <c r="O24" s="7" t="s">
        <v>29</v>
      </c>
      <c r="P24" s="7" t="s">
        <v>29</v>
      </c>
      <c r="Q24" s="7" t="s">
        <v>413</v>
      </c>
      <c r="R24" s="7" t="s">
        <v>29</v>
      </c>
      <c r="S24" s="7">
        <v>1500</v>
      </c>
      <c r="T24" s="7" t="s">
        <v>29</v>
      </c>
      <c r="U24" s="8"/>
      <c r="V24" s="8"/>
      <c r="W24" s="8"/>
      <c r="X24" s="8"/>
      <c r="Y24" s="8"/>
      <c r="Z24" s="8"/>
    </row>
    <row r="25" spans="1:26" ht="14.25" customHeight="1">
      <c r="A25" s="7">
        <v>56</v>
      </c>
      <c r="B25" s="7" t="s">
        <v>70</v>
      </c>
      <c r="C25" s="7" t="s">
        <v>414</v>
      </c>
      <c r="D25" s="7" t="s">
        <v>25</v>
      </c>
      <c r="E25" s="7">
        <f>650*60</f>
        <v>39000</v>
      </c>
      <c r="F25" s="7" t="s">
        <v>26</v>
      </c>
      <c r="G25" s="7">
        <v>450</v>
      </c>
      <c r="H25" s="7" t="s">
        <v>29</v>
      </c>
      <c r="I25" s="7" t="s">
        <v>29</v>
      </c>
      <c r="J25" s="7" t="s">
        <v>29</v>
      </c>
      <c r="K25" s="7" t="s">
        <v>29</v>
      </c>
      <c r="L25" s="7" t="s">
        <v>29</v>
      </c>
      <c r="M25" s="7" t="s">
        <v>29</v>
      </c>
      <c r="N25" s="7" t="s">
        <v>29</v>
      </c>
      <c r="O25" s="7" t="s">
        <v>29</v>
      </c>
      <c r="P25" s="7" t="s">
        <v>29</v>
      </c>
      <c r="Q25" s="7" t="s">
        <v>29</v>
      </c>
      <c r="R25" s="7"/>
      <c r="S25" s="7" t="s">
        <v>29</v>
      </c>
      <c r="T25" s="7" t="s">
        <v>29</v>
      </c>
      <c r="U25" s="8"/>
      <c r="V25" s="8"/>
      <c r="W25" s="8"/>
      <c r="X25" s="8"/>
      <c r="Y25" s="8"/>
      <c r="Z25" s="8"/>
    </row>
    <row r="26" spans="1:26" ht="14.25" customHeight="1">
      <c r="A26" s="7">
        <v>56</v>
      </c>
      <c r="B26" s="7" t="s">
        <v>72</v>
      </c>
      <c r="C26" s="7" t="s">
        <v>29</v>
      </c>
      <c r="D26" s="7"/>
      <c r="E26" s="7"/>
      <c r="F26" s="7" t="s">
        <v>29</v>
      </c>
      <c r="G26" s="7"/>
      <c r="H26" s="7"/>
      <c r="I26" s="7" t="s">
        <v>29</v>
      </c>
      <c r="J26" s="7" t="s">
        <v>29</v>
      </c>
      <c r="K26" s="7" t="s">
        <v>29</v>
      </c>
      <c r="L26" s="7" t="s">
        <v>29</v>
      </c>
      <c r="M26" s="7" t="s">
        <v>29</v>
      </c>
      <c r="N26" s="7" t="s">
        <v>29</v>
      </c>
      <c r="O26" s="7" t="s">
        <v>29</v>
      </c>
      <c r="P26" s="7" t="s">
        <v>29</v>
      </c>
      <c r="Q26" s="7" t="s">
        <v>29</v>
      </c>
      <c r="R26" s="7"/>
      <c r="S26" s="7" t="s">
        <v>29</v>
      </c>
      <c r="T26" s="7" t="s">
        <v>29</v>
      </c>
      <c r="U26" s="8"/>
      <c r="V26" s="8"/>
      <c r="W26" s="8"/>
      <c r="X26" s="8"/>
      <c r="Y26" s="8"/>
      <c r="Z26" s="8"/>
    </row>
    <row r="27" spans="1:26" ht="14.25" customHeight="1">
      <c r="A27" s="7">
        <v>57</v>
      </c>
      <c r="B27" s="7" t="s">
        <v>70</v>
      </c>
      <c r="C27" s="7" t="s">
        <v>415</v>
      </c>
      <c r="D27" s="7" t="s">
        <v>381</v>
      </c>
      <c r="E27" s="7" t="s">
        <v>29</v>
      </c>
      <c r="F27" s="7" t="s">
        <v>29</v>
      </c>
      <c r="G27" s="7" t="s">
        <v>29</v>
      </c>
      <c r="H27" s="7" t="s">
        <v>29</v>
      </c>
      <c r="I27" s="7" t="s">
        <v>29</v>
      </c>
      <c r="J27" s="7" t="s">
        <v>29</v>
      </c>
      <c r="K27" s="7" t="s">
        <v>29</v>
      </c>
      <c r="L27" s="7" t="s">
        <v>29</v>
      </c>
      <c r="M27" s="7" t="s">
        <v>29</v>
      </c>
      <c r="N27" s="7" t="s">
        <v>29</v>
      </c>
      <c r="O27" s="7" t="s">
        <v>29</v>
      </c>
      <c r="P27" s="7" t="s">
        <v>29</v>
      </c>
      <c r="Q27" s="7"/>
      <c r="R27" s="7" t="s">
        <v>416</v>
      </c>
      <c r="S27" s="7" t="s">
        <v>29</v>
      </c>
      <c r="T27" s="7" t="s">
        <v>417</v>
      </c>
      <c r="U27" s="8"/>
      <c r="V27" s="8"/>
      <c r="W27" s="8"/>
      <c r="X27" s="8"/>
      <c r="Y27" s="8"/>
      <c r="Z27" s="8"/>
    </row>
    <row r="28" spans="1:26" ht="14.25" customHeight="1">
      <c r="A28" s="7">
        <v>58</v>
      </c>
      <c r="B28" s="7" t="s">
        <v>70</v>
      </c>
      <c r="C28" s="7" t="s">
        <v>418</v>
      </c>
      <c r="D28" s="7" t="s">
        <v>71</v>
      </c>
      <c r="E28" s="7">
        <f>400*60</f>
        <v>24000</v>
      </c>
      <c r="F28" s="7" t="s">
        <v>26</v>
      </c>
      <c r="G28" s="7" t="s">
        <v>29</v>
      </c>
      <c r="H28" s="7" t="s">
        <v>29</v>
      </c>
      <c r="I28" s="7">
        <f>AVERAGE(10,15)</f>
        <v>12.5</v>
      </c>
      <c r="J28" s="7" t="s">
        <v>419</v>
      </c>
      <c r="K28" s="7" t="s">
        <v>29</v>
      </c>
      <c r="L28" s="7" t="s">
        <v>29</v>
      </c>
      <c r="M28" s="7" t="s">
        <v>29</v>
      </c>
      <c r="N28" s="7" t="s">
        <v>29</v>
      </c>
      <c r="O28" s="7" t="s">
        <v>29</v>
      </c>
      <c r="P28" s="7" t="s">
        <v>29</v>
      </c>
      <c r="Q28" s="7" t="s">
        <v>406</v>
      </c>
      <c r="R28" s="7" t="s">
        <v>79</v>
      </c>
      <c r="S28" s="7" t="s">
        <v>420</v>
      </c>
      <c r="T28" s="6" t="s">
        <v>421</v>
      </c>
      <c r="U28" s="8"/>
      <c r="V28" s="8"/>
      <c r="W28" s="8"/>
      <c r="X28" s="8"/>
      <c r="Y28" s="8"/>
      <c r="Z28" s="8"/>
    </row>
    <row r="29" spans="1:26" ht="14.25" customHeight="1">
      <c r="A29" s="7">
        <v>58</v>
      </c>
      <c r="B29" s="7" t="s">
        <v>94</v>
      </c>
      <c r="C29" s="7" t="s">
        <v>29</v>
      </c>
      <c r="D29" s="7" t="s">
        <v>29</v>
      </c>
      <c r="E29" s="7" t="s">
        <v>29</v>
      </c>
      <c r="F29" s="7" t="s">
        <v>29</v>
      </c>
      <c r="G29" s="7"/>
      <c r="H29" s="7" t="s">
        <v>29</v>
      </c>
      <c r="I29" s="7" t="s">
        <v>29</v>
      </c>
      <c r="J29" s="7" t="s">
        <v>29</v>
      </c>
      <c r="K29" s="7" t="s">
        <v>29</v>
      </c>
      <c r="L29" s="7" t="s">
        <v>29</v>
      </c>
      <c r="M29" s="7" t="s">
        <v>29</v>
      </c>
      <c r="N29" s="7" t="s">
        <v>29</v>
      </c>
      <c r="O29" s="7" t="s">
        <v>29</v>
      </c>
      <c r="P29" s="7" t="s">
        <v>29</v>
      </c>
      <c r="Q29" s="7" t="s">
        <v>178</v>
      </c>
      <c r="R29" s="7" t="s">
        <v>29</v>
      </c>
      <c r="S29" s="7" t="s">
        <v>29</v>
      </c>
      <c r="T29" s="7" t="s">
        <v>29</v>
      </c>
      <c r="U29" s="8"/>
      <c r="V29" s="8"/>
      <c r="W29" s="8"/>
      <c r="X29" s="8"/>
      <c r="Y29" s="8"/>
      <c r="Z29" s="8"/>
    </row>
    <row r="30" spans="1:26" ht="14.25" customHeight="1">
      <c r="A30" s="7">
        <v>59</v>
      </c>
      <c r="B30" s="7" t="s">
        <v>70</v>
      </c>
      <c r="C30" s="7" t="s">
        <v>422</v>
      </c>
      <c r="D30" s="7" t="s">
        <v>423</v>
      </c>
      <c r="E30" s="7">
        <v>33000</v>
      </c>
      <c r="F30" s="7" t="s">
        <v>26</v>
      </c>
      <c r="G30" s="7">
        <v>350</v>
      </c>
      <c r="H30" s="7">
        <v>380</v>
      </c>
      <c r="I30" s="7">
        <v>20</v>
      </c>
      <c r="J30" s="7" t="s">
        <v>424</v>
      </c>
      <c r="K30" s="7" t="s">
        <v>29</v>
      </c>
      <c r="L30" s="7" t="s">
        <v>29</v>
      </c>
      <c r="M30" s="7" t="s">
        <v>29</v>
      </c>
      <c r="N30" s="7" t="s">
        <v>29</v>
      </c>
      <c r="O30" s="7" t="s">
        <v>29</v>
      </c>
      <c r="P30" s="7" t="s">
        <v>29</v>
      </c>
      <c r="Q30" s="6" t="s">
        <v>425</v>
      </c>
      <c r="R30" s="7" t="s">
        <v>426</v>
      </c>
      <c r="S30" s="7" t="s">
        <v>29</v>
      </c>
      <c r="T30" s="7" t="s">
        <v>371</v>
      </c>
      <c r="U30" s="8"/>
      <c r="V30" s="8"/>
      <c r="W30" s="8"/>
      <c r="X30" s="8"/>
      <c r="Y30" s="8"/>
      <c r="Z30" s="8"/>
    </row>
    <row r="31" spans="1:26" s="97" customFormat="1" ht="14.25" customHeight="1">
      <c r="A31" s="92">
        <v>60</v>
      </c>
      <c r="B31" s="92" t="s">
        <v>70</v>
      </c>
      <c r="C31" s="92" t="s">
        <v>427</v>
      </c>
      <c r="D31" s="92" t="s">
        <v>29</v>
      </c>
      <c r="E31" s="92">
        <v>1000</v>
      </c>
      <c r="F31" s="92" t="s">
        <v>26</v>
      </c>
      <c r="G31" s="92">
        <f>300/60</f>
        <v>5</v>
      </c>
      <c r="H31" s="92">
        <f>300/60</f>
        <v>5</v>
      </c>
      <c r="I31" s="92" t="s">
        <v>29</v>
      </c>
      <c r="J31" s="92" t="s">
        <v>29</v>
      </c>
      <c r="K31" s="92" t="s">
        <v>29</v>
      </c>
      <c r="L31" s="92" t="s">
        <v>29</v>
      </c>
      <c r="M31" s="92" t="s">
        <v>29</v>
      </c>
      <c r="N31" s="92" t="s">
        <v>29</v>
      </c>
      <c r="O31" s="92" t="s">
        <v>29</v>
      </c>
      <c r="P31" s="92" t="s">
        <v>29</v>
      </c>
      <c r="Q31" s="92" t="s">
        <v>551</v>
      </c>
      <c r="R31" s="92" t="s">
        <v>29</v>
      </c>
      <c r="S31" s="92" t="s">
        <v>552</v>
      </c>
      <c r="T31" s="92" t="s">
        <v>436</v>
      </c>
    </row>
    <row r="32" spans="1:26" s="106" customFormat="1" ht="14.25" customHeight="1">
      <c r="A32" s="103">
        <v>60</v>
      </c>
      <c r="B32" s="103" t="s">
        <v>70</v>
      </c>
      <c r="C32" s="103" t="s">
        <v>428</v>
      </c>
      <c r="D32" s="103" t="s">
        <v>29</v>
      </c>
      <c r="E32" s="103">
        <v>1000</v>
      </c>
      <c r="F32" s="103" t="s">
        <v>26</v>
      </c>
      <c r="G32" s="107">
        <f>320/60</f>
        <v>5.333333333333333</v>
      </c>
      <c r="H32" s="107">
        <f>320/60</f>
        <v>5.333333333333333</v>
      </c>
      <c r="I32" s="103" t="s">
        <v>29</v>
      </c>
      <c r="J32" s="103" t="s">
        <v>29</v>
      </c>
      <c r="K32" s="103" t="s">
        <v>29</v>
      </c>
      <c r="L32" s="103" t="s">
        <v>29</v>
      </c>
      <c r="M32" s="103" t="s">
        <v>29</v>
      </c>
      <c r="N32" s="103" t="s">
        <v>29</v>
      </c>
      <c r="O32" s="103" t="s">
        <v>29</v>
      </c>
      <c r="P32" s="103" t="s">
        <v>29</v>
      </c>
      <c r="Q32" s="103" t="s">
        <v>553</v>
      </c>
      <c r="R32" s="103" t="s">
        <v>554</v>
      </c>
      <c r="S32" s="103" t="s">
        <v>29</v>
      </c>
      <c r="T32" s="103" t="s">
        <v>555</v>
      </c>
    </row>
    <row r="33" spans="1:20" s="96" customFormat="1" ht="13.8" customHeight="1">
      <c r="A33" s="103">
        <v>60</v>
      </c>
      <c r="B33" s="103" t="s">
        <v>94</v>
      </c>
      <c r="C33" s="103" t="s">
        <v>427</v>
      </c>
      <c r="D33" s="103" t="s">
        <v>29</v>
      </c>
      <c r="E33" s="104">
        <v>1500</v>
      </c>
      <c r="F33" s="104" t="s">
        <v>26</v>
      </c>
      <c r="G33" s="104">
        <v>110</v>
      </c>
      <c r="H33" s="104">
        <v>150</v>
      </c>
      <c r="I33" s="103" t="s">
        <v>29</v>
      </c>
      <c r="J33" s="103" t="s">
        <v>29</v>
      </c>
      <c r="K33" s="103" t="s">
        <v>29</v>
      </c>
      <c r="L33" s="103" t="s">
        <v>29</v>
      </c>
      <c r="M33" s="103" t="s">
        <v>29</v>
      </c>
      <c r="N33" s="103" t="s">
        <v>29</v>
      </c>
      <c r="O33" s="103" t="s">
        <v>29</v>
      </c>
      <c r="P33" s="103" t="s">
        <v>29</v>
      </c>
      <c r="Q33" s="103" t="s">
        <v>556</v>
      </c>
      <c r="R33" s="103" t="s">
        <v>554</v>
      </c>
      <c r="S33" s="103" t="s">
        <v>29</v>
      </c>
      <c r="T33" s="103" t="s">
        <v>429</v>
      </c>
    </row>
    <row r="34" spans="1:20" s="66" customFormat="1" ht="14.25" customHeight="1">
      <c r="A34" s="60">
        <v>61</v>
      </c>
      <c r="B34" s="60" t="s">
        <v>430</v>
      </c>
      <c r="C34" s="60" t="s">
        <v>427</v>
      </c>
      <c r="D34" s="60" t="s">
        <v>29</v>
      </c>
      <c r="E34" s="60">
        <v>600</v>
      </c>
      <c r="F34" s="60" t="s">
        <v>26</v>
      </c>
      <c r="G34" s="60">
        <v>10</v>
      </c>
      <c r="H34" s="60">
        <v>10</v>
      </c>
      <c r="I34" s="60" t="s">
        <v>29</v>
      </c>
      <c r="J34" s="60" t="s">
        <v>29</v>
      </c>
      <c r="K34" s="60" t="s">
        <v>29</v>
      </c>
      <c r="L34" s="60" t="s">
        <v>29</v>
      </c>
      <c r="M34" s="60" t="s">
        <v>29</v>
      </c>
      <c r="N34" s="60" t="s">
        <v>29</v>
      </c>
      <c r="O34" s="60" t="s">
        <v>29</v>
      </c>
      <c r="P34" s="60" t="s">
        <v>29</v>
      </c>
      <c r="Q34" s="60" t="s">
        <v>431</v>
      </c>
      <c r="R34" s="103" t="s">
        <v>29</v>
      </c>
      <c r="S34" s="103" t="s">
        <v>29</v>
      </c>
      <c r="T34" s="103" t="s">
        <v>429</v>
      </c>
    </row>
    <row r="35" spans="1:20" ht="14.25" customHeight="1">
      <c r="A35" s="3">
        <v>62</v>
      </c>
      <c r="B35" s="3" t="s">
        <v>70</v>
      </c>
      <c r="C35" s="43" t="s">
        <v>432</v>
      </c>
      <c r="D35" s="3" t="s">
        <v>381</v>
      </c>
      <c r="E35" s="141">
        <v>650</v>
      </c>
      <c r="F35" s="141" t="s">
        <v>433</v>
      </c>
      <c r="G35" s="141">
        <v>230</v>
      </c>
      <c r="H35" s="141">
        <v>230</v>
      </c>
      <c r="I35" s="3" t="s">
        <v>29</v>
      </c>
      <c r="J35" s="3" t="s">
        <v>29</v>
      </c>
      <c r="K35" s="3" t="s">
        <v>29</v>
      </c>
      <c r="L35" s="3" t="s">
        <v>29</v>
      </c>
      <c r="M35" s="3" t="s">
        <v>29</v>
      </c>
      <c r="N35" s="3" t="s">
        <v>29</v>
      </c>
      <c r="O35" s="3" t="s">
        <v>29</v>
      </c>
      <c r="P35" s="3" t="s">
        <v>29</v>
      </c>
      <c r="Q35" s="3" t="s">
        <v>434</v>
      </c>
      <c r="R35" s="3" t="s">
        <v>29</v>
      </c>
      <c r="S35" s="3" t="s">
        <v>435</v>
      </c>
      <c r="T35" s="3" t="s">
        <v>436</v>
      </c>
    </row>
    <row r="36" spans="1:20" s="96" customFormat="1" ht="14.25" customHeight="1">
      <c r="A36" s="92">
        <v>63</v>
      </c>
      <c r="B36" s="92" t="s">
        <v>70</v>
      </c>
      <c r="C36" s="92" t="s">
        <v>461</v>
      </c>
      <c r="D36" s="92" t="s">
        <v>95</v>
      </c>
      <c r="E36" s="94">
        <f>6000*70</f>
        <v>420000</v>
      </c>
      <c r="F36" s="92" t="s">
        <v>26</v>
      </c>
      <c r="G36" s="95">
        <f>300/70</f>
        <v>4.2857142857142856</v>
      </c>
      <c r="H36" s="95">
        <f>500/70</f>
        <v>7.1428571428571432</v>
      </c>
      <c r="I36" s="92" t="s">
        <v>29</v>
      </c>
      <c r="J36" s="92" t="s">
        <v>26</v>
      </c>
      <c r="K36" s="92" t="s">
        <v>29</v>
      </c>
      <c r="L36" s="60" t="s">
        <v>29</v>
      </c>
      <c r="M36" s="60" t="s">
        <v>29</v>
      </c>
      <c r="N36" s="60" t="s">
        <v>29</v>
      </c>
      <c r="O36" s="60" t="s">
        <v>29</v>
      </c>
      <c r="P36" s="60" t="s">
        <v>29</v>
      </c>
      <c r="Q36" s="92" t="s">
        <v>462</v>
      </c>
      <c r="R36" s="92" t="s">
        <v>463</v>
      </c>
      <c r="S36" s="92" t="s">
        <v>464</v>
      </c>
      <c r="T36" s="60" t="s">
        <v>436</v>
      </c>
    </row>
    <row r="37" spans="1:20" s="96" customFormat="1" ht="25.8" customHeight="1">
      <c r="A37" s="123">
        <v>63</v>
      </c>
      <c r="B37" s="123" t="s">
        <v>68</v>
      </c>
      <c r="C37" s="123" t="s">
        <v>461</v>
      </c>
      <c r="D37" s="123" t="s">
        <v>95</v>
      </c>
      <c r="E37" s="94">
        <v>30</v>
      </c>
      <c r="F37" s="92" t="s">
        <v>544</v>
      </c>
      <c r="G37" s="123">
        <v>45</v>
      </c>
      <c r="H37" s="123">
        <v>100</v>
      </c>
      <c r="I37" s="123" t="s">
        <v>29</v>
      </c>
      <c r="J37" s="123" t="s">
        <v>26</v>
      </c>
      <c r="K37" s="123" t="s">
        <v>29</v>
      </c>
      <c r="L37" s="123" t="s">
        <v>29</v>
      </c>
      <c r="M37" s="123" t="s">
        <v>29</v>
      </c>
      <c r="N37" s="113" t="s">
        <v>29</v>
      </c>
      <c r="O37" s="113" t="s">
        <v>29</v>
      </c>
      <c r="P37" s="113" t="s">
        <v>29</v>
      </c>
      <c r="Q37" s="123" t="s">
        <v>462</v>
      </c>
      <c r="R37" s="123" t="s">
        <v>463</v>
      </c>
      <c r="S37" s="123" t="s">
        <v>465</v>
      </c>
      <c r="T37" s="113" t="s">
        <v>436</v>
      </c>
    </row>
    <row r="38" spans="1:20" s="97" customFormat="1" ht="27.6" customHeight="1">
      <c r="A38" s="124"/>
      <c r="B38" s="124"/>
      <c r="C38" s="124"/>
      <c r="D38" s="124"/>
      <c r="E38" s="93">
        <v>250</v>
      </c>
      <c r="F38" s="92" t="s">
        <v>545</v>
      </c>
      <c r="G38" s="128"/>
      <c r="H38" s="124"/>
      <c r="I38" s="124"/>
      <c r="J38" s="124"/>
      <c r="K38" s="124"/>
      <c r="L38" s="124"/>
      <c r="M38" s="124"/>
      <c r="N38" s="127"/>
      <c r="O38" s="127"/>
      <c r="P38" s="127"/>
      <c r="Q38" s="124"/>
      <c r="R38" s="124"/>
      <c r="S38" s="124"/>
      <c r="T38" s="127"/>
    </row>
    <row r="39" spans="1:20" s="97" customFormat="1" ht="45.6" customHeight="1">
      <c r="A39" s="92">
        <v>64</v>
      </c>
      <c r="B39" s="92" t="s">
        <v>70</v>
      </c>
      <c r="C39" s="92" t="s">
        <v>368</v>
      </c>
      <c r="D39" s="92" t="s">
        <v>49</v>
      </c>
      <c r="E39" s="133">
        <f>1000*70</f>
        <v>70000</v>
      </c>
      <c r="F39" s="134" t="s">
        <v>26</v>
      </c>
      <c r="G39" s="138">
        <f>250/70</f>
        <v>3.5714285714285716</v>
      </c>
      <c r="H39" s="139">
        <f>450/70</f>
        <v>6.4285714285714288</v>
      </c>
      <c r="I39" s="92" t="s">
        <v>29</v>
      </c>
      <c r="J39" s="92" t="s">
        <v>26</v>
      </c>
      <c r="K39" s="92" t="s">
        <v>29</v>
      </c>
      <c r="L39" s="92" t="s">
        <v>29</v>
      </c>
      <c r="M39" s="92" t="s">
        <v>29</v>
      </c>
      <c r="N39" s="60" t="s">
        <v>29</v>
      </c>
      <c r="O39" s="60" t="s">
        <v>29</v>
      </c>
      <c r="P39" s="60" t="s">
        <v>29</v>
      </c>
      <c r="Q39" s="93" t="s">
        <v>473</v>
      </c>
      <c r="R39" s="93" t="s">
        <v>474</v>
      </c>
      <c r="S39" s="137">
        <v>3000</v>
      </c>
      <c r="T39" s="92" t="s">
        <v>475</v>
      </c>
    </row>
    <row r="40" spans="1:20" s="97" customFormat="1" ht="46.2" customHeight="1">
      <c r="A40" s="92">
        <v>64</v>
      </c>
      <c r="B40" s="92" t="s">
        <v>70</v>
      </c>
      <c r="C40" s="92" t="s">
        <v>470</v>
      </c>
      <c r="D40" s="92" t="s">
        <v>472</v>
      </c>
      <c r="E40" s="133">
        <f>700*70</f>
        <v>49000</v>
      </c>
      <c r="F40" s="134" t="s">
        <v>26</v>
      </c>
      <c r="G40" s="135">
        <f>210/70</f>
        <v>3</v>
      </c>
      <c r="H40" s="139">
        <f>460/70</f>
        <v>6.5714285714285712</v>
      </c>
      <c r="I40" s="92" t="s">
        <v>29</v>
      </c>
      <c r="J40" s="92" t="s">
        <v>26</v>
      </c>
      <c r="K40" s="92" t="s">
        <v>29</v>
      </c>
      <c r="L40" s="92" t="s">
        <v>29</v>
      </c>
      <c r="M40" s="92" t="s">
        <v>29</v>
      </c>
      <c r="N40" s="60" t="s">
        <v>29</v>
      </c>
      <c r="O40" s="60" t="s">
        <v>29</v>
      </c>
      <c r="P40" s="60" t="s">
        <v>29</v>
      </c>
      <c r="Q40" s="93" t="s">
        <v>473</v>
      </c>
      <c r="R40" s="93" t="s">
        <v>474</v>
      </c>
      <c r="S40" s="137">
        <v>3000</v>
      </c>
      <c r="T40" s="92" t="s">
        <v>475</v>
      </c>
    </row>
    <row r="41" spans="1:20" s="96" customFormat="1" ht="44.4" customHeight="1">
      <c r="A41" s="92">
        <v>64</v>
      </c>
      <c r="B41" s="92" t="s">
        <v>70</v>
      </c>
      <c r="C41" s="92" t="s">
        <v>471</v>
      </c>
      <c r="D41" s="92" t="s">
        <v>25</v>
      </c>
      <c r="E41" s="94">
        <f>240*70</f>
        <v>16800</v>
      </c>
      <c r="F41" s="134" t="s">
        <v>26</v>
      </c>
      <c r="G41" s="135">
        <f>350/70</f>
        <v>5</v>
      </c>
      <c r="H41" s="136">
        <f>350/70</f>
        <v>5</v>
      </c>
      <c r="I41" s="92" t="s">
        <v>29</v>
      </c>
      <c r="J41" s="92" t="s">
        <v>26</v>
      </c>
      <c r="K41" s="92" t="s">
        <v>29</v>
      </c>
      <c r="L41" s="92" t="s">
        <v>29</v>
      </c>
      <c r="M41" s="92" t="s">
        <v>29</v>
      </c>
      <c r="N41" s="60" t="s">
        <v>29</v>
      </c>
      <c r="O41" s="60" t="s">
        <v>29</v>
      </c>
      <c r="P41" s="60" t="s">
        <v>29</v>
      </c>
      <c r="Q41" s="93" t="s">
        <v>473</v>
      </c>
      <c r="R41" s="93" t="s">
        <v>474</v>
      </c>
      <c r="S41" s="137">
        <v>3000</v>
      </c>
      <c r="T41" s="92" t="s">
        <v>475</v>
      </c>
    </row>
    <row r="42" spans="1:20" s="96" customFormat="1" ht="46.8" customHeight="1">
      <c r="A42" s="92">
        <v>64</v>
      </c>
      <c r="B42" s="92" t="s">
        <v>68</v>
      </c>
      <c r="C42" s="92" t="s">
        <v>368</v>
      </c>
      <c r="D42" s="92" t="s">
        <v>49</v>
      </c>
      <c r="E42" s="92">
        <v>3000</v>
      </c>
      <c r="F42" s="134" t="s">
        <v>26</v>
      </c>
      <c r="G42" s="98">
        <v>115</v>
      </c>
      <c r="H42" s="92">
        <v>120</v>
      </c>
      <c r="I42" s="92" t="s">
        <v>29</v>
      </c>
      <c r="J42" s="92" t="s">
        <v>26</v>
      </c>
      <c r="K42" s="92" t="s">
        <v>29</v>
      </c>
      <c r="L42" s="92" t="s">
        <v>29</v>
      </c>
      <c r="M42" s="92" t="s">
        <v>29</v>
      </c>
      <c r="N42" s="60" t="s">
        <v>29</v>
      </c>
      <c r="O42" s="60" t="s">
        <v>29</v>
      </c>
      <c r="P42" s="60" t="s">
        <v>29</v>
      </c>
      <c r="Q42" s="93" t="s">
        <v>473</v>
      </c>
      <c r="R42" s="93" t="s">
        <v>474</v>
      </c>
      <c r="S42" s="137">
        <v>3000</v>
      </c>
      <c r="T42" s="92" t="s">
        <v>475</v>
      </c>
    </row>
    <row r="43" spans="1:20" s="96" customFormat="1" ht="47.4" customHeight="1">
      <c r="A43" s="92">
        <v>64</v>
      </c>
      <c r="B43" s="92" t="s">
        <v>68</v>
      </c>
      <c r="C43" s="92" t="s">
        <v>470</v>
      </c>
      <c r="D43" s="92" t="s">
        <v>472</v>
      </c>
      <c r="E43" s="92">
        <v>2000</v>
      </c>
      <c r="F43" s="134" t="s">
        <v>26</v>
      </c>
      <c r="G43" s="92">
        <v>125</v>
      </c>
      <c r="H43" s="92">
        <v>130</v>
      </c>
      <c r="I43" s="92" t="s">
        <v>29</v>
      </c>
      <c r="J43" s="92" t="s">
        <v>26</v>
      </c>
      <c r="K43" s="92" t="s">
        <v>29</v>
      </c>
      <c r="L43" s="92" t="s">
        <v>29</v>
      </c>
      <c r="M43" s="92" t="s">
        <v>29</v>
      </c>
      <c r="N43" s="60" t="s">
        <v>29</v>
      </c>
      <c r="O43" s="60" t="s">
        <v>29</v>
      </c>
      <c r="P43" s="60" t="s">
        <v>29</v>
      </c>
      <c r="Q43" s="93" t="s">
        <v>473</v>
      </c>
      <c r="R43" s="93" t="s">
        <v>474</v>
      </c>
      <c r="S43" s="137">
        <v>3000</v>
      </c>
      <c r="T43" s="92" t="s">
        <v>475</v>
      </c>
    </row>
    <row r="44" spans="1:20" s="96" customFormat="1" ht="41.4" customHeight="1">
      <c r="A44" s="92">
        <v>64</v>
      </c>
      <c r="B44" s="92" t="s">
        <v>68</v>
      </c>
      <c r="C44" s="92" t="s">
        <v>471</v>
      </c>
      <c r="D44" s="92" t="s">
        <v>25</v>
      </c>
      <c r="E44" s="92">
        <v>1000</v>
      </c>
      <c r="F44" s="134" t="s">
        <v>26</v>
      </c>
      <c r="G44" s="92">
        <v>130</v>
      </c>
      <c r="H44" s="92">
        <v>130</v>
      </c>
      <c r="I44" s="92" t="s">
        <v>29</v>
      </c>
      <c r="J44" s="92" t="s">
        <v>26</v>
      </c>
      <c r="K44" s="92" t="s">
        <v>29</v>
      </c>
      <c r="L44" s="92" t="s">
        <v>29</v>
      </c>
      <c r="M44" s="92" t="s">
        <v>29</v>
      </c>
      <c r="N44" s="60" t="s">
        <v>29</v>
      </c>
      <c r="O44" s="60" t="s">
        <v>29</v>
      </c>
      <c r="P44" s="60" t="s">
        <v>29</v>
      </c>
      <c r="Q44" s="93" t="s">
        <v>473</v>
      </c>
      <c r="R44" s="93" t="s">
        <v>474</v>
      </c>
      <c r="S44" s="137">
        <v>3000</v>
      </c>
      <c r="T44" s="92" t="s">
        <v>475</v>
      </c>
    </row>
    <row r="45" spans="1:20" s="96" customFormat="1" ht="14.25" customHeight="1">
      <c r="A45" s="92">
        <v>65</v>
      </c>
      <c r="B45" s="92" t="s">
        <v>70</v>
      </c>
      <c r="C45" s="92" t="s">
        <v>422</v>
      </c>
      <c r="D45" s="92" t="s">
        <v>478</v>
      </c>
      <c r="E45" s="94">
        <f>4612*70</f>
        <v>322840</v>
      </c>
      <c r="F45" s="92" t="s">
        <v>26</v>
      </c>
      <c r="G45" s="95">
        <f>150/70</f>
        <v>2.1428571428571428</v>
      </c>
      <c r="H45" s="95">
        <f>320/70</f>
        <v>4.5714285714285712</v>
      </c>
      <c r="I45" s="92" t="s">
        <v>485</v>
      </c>
      <c r="J45" s="92" t="s">
        <v>54</v>
      </c>
      <c r="K45" s="92" t="s">
        <v>29</v>
      </c>
      <c r="L45" s="92" t="s">
        <v>29</v>
      </c>
      <c r="M45" s="92" t="s">
        <v>29</v>
      </c>
      <c r="N45" s="60" t="s">
        <v>29</v>
      </c>
      <c r="O45" s="60" t="s">
        <v>29</v>
      </c>
      <c r="P45" s="60" t="s">
        <v>29</v>
      </c>
      <c r="Q45" s="92" t="s">
        <v>486</v>
      </c>
      <c r="R45" s="92" t="s">
        <v>29</v>
      </c>
      <c r="S45" s="92" t="s">
        <v>29</v>
      </c>
      <c r="T45" s="92" t="s">
        <v>29</v>
      </c>
    </row>
    <row r="46" spans="1:20" s="96" customFormat="1" ht="30" customHeight="1">
      <c r="A46" s="92">
        <v>65</v>
      </c>
      <c r="B46" s="92" t="s">
        <v>68</v>
      </c>
      <c r="C46" s="93" t="s">
        <v>484</v>
      </c>
      <c r="D46" s="92" t="s">
        <v>478</v>
      </c>
      <c r="E46" s="92">
        <v>3000</v>
      </c>
      <c r="F46" s="92" t="s">
        <v>26</v>
      </c>
      <c r="G46" s="92">
        <v>178</v>
      </c>
      <c r="H46" s="92">
        <v>180</v>
      </c>
      <c r="I46" s="92" t="s">
        <v>560</v>
      </c>
      <c r="J46" s="92" t="s">
        <v>26</v>
      </c>
      <c r="K46" s="92" t="s">
        <v>29</v>
      </c>
      <c r="L46" s="92" t="s">
        <v>29</v>
      </c>
      <c r="M46" s="92" t="s">
        <v>29</v>
      </c>
      <c r="N46" s="60" t="s">
        <v>29</v>
      </c>
      <c r="O46" s="60" t="s">
        <v>29</v>
      </c>
      <c r="P46" s="60" t="s">
        <v>29</v>
      </c>
      <c r="Q46" s="92" t="s">
        <v>487</v>
      </c>
      <c r="R46" s="92" t="s">
        <v>490</v>
      </c>
      <c r="S46" s="92" t="s">
        <v>488</v>
      </c>
      <c r="T46" s="92" t="s">
        <v>489</v>
      </c>
    </row>
    <row r="47" spans="1:20" s="40" customFormat="1" ht="14.25" customHeight="1">
      <c r="A47" s="39">
        <v>66</v>
      </c>
      <c r="B47" s="39" t="s">
        <v>70</v>
      </c>
      <c r="C47" s="38" t="s">
        <v>513</v>
      </c>
      <c r="D47" s="39" t="s">
        <v>381</v>
      </c>
      <c r="E47" s="41">
        <v>42000</v>
      </c>
      <c r="F47" s="39" t="s">
        <v>26</v>
      </c>
      <c r="G47" s="39">
        <v>3.28</v>
      </c>
      <c r="H47" s="39" t="s">
        <v>29</v>
      </c>
      <c r="I47" s="39" t="s">
        <v>29</v>
      </c>
      <c r="J47" s="39" t="s">
        <v>26</v>
      </c>
      <c r="K47" s="39" t="s">
        <v>29</v>
      </c>
      <c r="L47" s="39" t="s">
        <v>29</v>
      </c>
      <c r="M47" s="39" t="s">
        <v>29</v>
      </c>
      <c r="N47" s="3" t="s">
        <v>29</v>
      </c>
      <c r="O47" s="3" t="s">
        <v>29</v>
      </c>
      <c r="P47" s="3" t="s">
        <v>29</v>
      </c>
      <c r="Q47" s="39" t="s">
        <v>515</v>
      </c>
      <c r="R47" s="39" t="s">
        <v>29</v>
      </c>
      <c r="S47" s="39" t="s">
        <v>518</v>
      </c>
      <c r="T47" s="39" t="s">
        <v>475</v>
      </c>
    </row>
    <row r="48" spans="1:20" s="40" customFormat="1" ht="14.25" customHeight="1">
      <c r="A48" s="39">
        <v>66</v>
      </c>
      <c r="B48" s="39" t="s">
        <v>70</v>
      </c>
      <c r="C48" s="39" t="s">
        <v>368</v>
      </c>
      <c r="D48" s="39" t="s">
        <v>25</v>
      </c>
      <c r="E48" s="41">
        <v>21000</v>
      </c>
      <c r="F48" s="39" t="s">
        <v>26</v>
      </c>
      <c r="G48" s="39">
        <v>3.57</v>
      </c>
      <c r="H48" s="39" t="s">
        <v>29</v>
      </c>
      <c r="I48" s="39" t="s">
        <v>29</v>
      </c>
      <c r="J48" s="39" t="s">
        <v>26</v>
      </c>
      <c r="K48" s="39" t="s">
        <v>29</v>
      </c>
      <c r="L48" s="39" t="s">
        <v>29</v>
      </c>
      <c r="M48" s="39" t="s">
        <v>29</v>
      </c>
      <c r="N48" s="3" t="s">
        <v>29</v>
      </c>
      <c r="O48" s="3" t="s">
        <v>29</v>
      </c>
      <c r="P48" s="3" t="s">
        <v>29</v>
      </c>
      <c r="Q48" s="39" t="s">
        <v>516</v>
      </c>
      <c r="R48" s="39" t="s">
        <v>29</v>
      </c>
      <c r="S48" s="39" t="s">
        <v>29</v>
      </c>
      <c r="T48" s="39" t="s">
        <v>29</v>
      </c>
    </row>
    <row r="49" spans="1:20" s="40" customFormat="1" ht="36.6" customHeight="1">
      <c r="A49" s="39">
        <v>66</v>
      </c>
      <c r="B49" s="39" t="s">
        <v>68</v>
      </c>
      <c r="C49" s="39" t="s">
        <v>514</v>
      </c>
      <c r="D49" s="39" t="s">
        <v>381</v>
      </c>
      <c r="E49" s="41">
        <v>8949</v>
      </c>
      <c r="F49" s="39" t="s">
        <v>26</v>
      </c>
      <c r="G49" s="39">
        <v>80</v>
      </c>
      <c r="H49" s="39">
        <v>153</v>
      </c>
      <c r="I49" s="39" t="s">
        <v>29</v>
      </c>
      <c r="J49" s="39" t="s">
        <v>26</v>
      </c>
      <c r="K49" s="39" t="s">
        <v>29</v>
      </c>
      <c r="L49" s="39" t="s">
        <v>29</v>
      </c>
      <c r="M49" s="39" t="s">
        <v>29</v>
      </c>
      <c r="N49" s="3" t="s">
        <v>29</v>
      </c>
      <c r="O49" s="3" t="s">
        <v>29</v>
      </c>
      <c r="P49" s="3" t="s">
        <v>29</v>
      </c>
      <c r="Q49" s="39" t="s">
        <v>517</v>
      </c>
      <c r="R49" s="38" t="s">
        <v>519</v>
      </c>
      <c r="S49" s="39">
        <v>1500</v>
      </c>
      <c r="T49" s="39" t="s">
        <v>29</v>
      </c>
    </row>
    <row r="50" spans="1:20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 spans="1:20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 spans="1:20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 spans="1:20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 spans="1:2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 spans="1:20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 spans="1:20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 spans="1:20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 spans="1:20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 spans="1:2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 spans="1:20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20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0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 spans="1:20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spans="1:2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spans="1:20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spans="1:20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spans="1:20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 spans="1:20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0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 spans="1:20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 spans="1:20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 spans="1:20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 spans="1:20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spans="1:2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spans="1:20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0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 spans="1:20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 spans="1:20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 spans="1:20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 spans="1:20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 spans="1:20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 spans="1:20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 spans="1:2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 spans="1:20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 spans="1:20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 spans="1:20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 spans="1:20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 spans="1:20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 spans="1:20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 spans="1:20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 spans="1:20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 spans="1: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 spans="1:20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 spans="1:20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 spans="1:20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 spans="1:20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 spans="1:20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 spans="1:20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 spans="1:20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 spans="1:20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 spans="1:20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 spans="1:2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 spans="1:20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 spans="1:20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 spans="1:20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 spans="1:20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 spans="1:20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 spans="1:20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 spans="1:20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 spans="1:20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 spans="1:20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 spans="1:2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 spans="1:20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 spans="1:20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 spans="1:20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 spans="1:20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 spans="1:20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 spans="1:20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 spans="1:20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 spans="1:20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 spans="1:20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 spans="1:2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 spans="1:20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 spans="1:20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 spans="1:20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 spans="1:20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 spans="1:20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 spans="1:20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 spans="1:20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 spans="1:20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 spans="1:20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 spans="1:2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 spans="1:20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 spans="1:20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 spans="1:20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 spans="1:20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 spans="1:20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 spans="1:20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 spans="1:20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 spans="1:20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 spans="1:20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 spans="1:2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 spans="1:20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 spans="1:20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 spans="1:20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 spans="1:20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 spans="1:20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 spans="1:20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 spans="1:20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 spans="1:20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 spans="1:20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 spans="1:2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 spans="1:20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 spans="1:20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 spans="1:20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 spans="1:20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 spans="1:20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 spans="1:20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 spans="1:20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 spans="1:20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 spans="1:20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 spans="1:2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 spans="1:20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 spans="1:20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 spans="1:20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 spans="1:20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 spans="1:20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 spans="1:20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 spans="1:20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 spans="1:20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 spans="1:20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 spans="1:2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 spans="1:20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  <row r="202" spans="1:20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</row>
    <row r="203" spans="1:20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</row>
    <row r="204" spans="1:20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</row>
    <row r="205" spans="1:20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</row>
    <row r="206" spans="1:20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</row>
    <row r="207" spans="1:20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</row>
    <row r="208" spans="1:20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</row>
    <row r="209" spans="1:20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</row>
    <row r="210" spans="1:2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</row>
    <row r="211" spans="1:20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</row>
    <row r="212" spans="1:20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</row>
    <row r="213" spans="1:20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</row>
    <row r="214" spans="1:20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</row>
    <row r="215" spans="1:20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</row>
    <row r="216" spans="1:20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</row>
    <row r="217" spans="1:20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</row>
    <row r="218" spans="1:20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</row>
    <row r="219" spans="1:20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</row>
    <row r="220" spans="1: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</row>
    <row r="221" spans="1:20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</row>
    <row r="222" spans="1:20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</row>
    <row r="223" spans="1:20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</row>
    <row r="224" spans="1:20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</row>
    <row r="225" spans="1:20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</row>
    <row r="226" spans="1:20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</row>
    <row r="227" spans="1:20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</row>
    <row r="228" spans="1:20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</row>
    <row r="229" spans="1:20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</row>
    <row r="230" spans="1:2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</row>
    <row r="231" spans="1:20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</row>
    <row r="232" spans="1:20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</row>
    <row r="233" spans="1:20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</row>
    <row r="234" spans="1:20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</row>
    <row r="235" spans="1:20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</row>
    <row r="236" spans="1:20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</row>
    <row r="237" spans="1:20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</row>
    <row r="238" spans="1:20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</row>
    <row r="239" spans="1:20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</row>
    <row r="240" spans="1:2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</row>
    <row r="241" spans="1:20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</row>
    <row r="242" spans="1:20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</row>
    <row r="243" spans="1:20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</row>
    <row r="244" spans="1:20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</row>
    <row r="245" spans="1:20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</row>
    <row r="246" spans="1:20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</row>
    <row r="247" spans="1:20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</row>
    <row r="248" spans="1:20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</row>
    <row r="249" spans="1:20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</row>
    <row r="250" spans="1:2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</row>
    <row r="251" spans="1:20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</row>
    <row r="252" spans="1:20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</row>
    <row r="253" spans="1:20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</row>
    <row r="254" spans="1:20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</row>
    <row r="255" spans="1:20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</row>
    <row r="256" spans="1:20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</row>
    <row r="257" spans="1:20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</row>
    <row r="258" spans="1:20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</row>
    <row r="259" spans="1:20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</row>
    <row r="260" spans="1:2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</row>
    <row r="261" spans="1:20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</row>
    <row r="262" spans="1:20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</row>
    <row r="263" spans="1:20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</row>
    <row r="264" spans="1:20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</row>
    <row r="265" spans="1:20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</row>
    <row r="266" spans="1:20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</row>
    <row r="267" spans="1:20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</row>
    <row r="268" spans="1:20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</row>
    <row r="269" spans="1:20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</row>
    <row r="270" spans="1:2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</row>
    <row r="271" spans="1:20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</row>
    <row r="272" spans="1:20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</row>
    <row r="273" spans="1:20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</row>
    <row r="274" spans="1:20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</row>
    <row r="275" spans="1:20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</row>
    <row r="276" spans="1:20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</row>
    <row r="277" spans="1:20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</row>
    <row r="278" spans="1:20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</row>
    <row r="279" spans="1:20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</row>
    <row r="280" spans="1:2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</row>
    <row r="281" spans="1:20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</row>
    <row r="282" spans="1:20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</row>
    <row r="283" spans="1:20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</row>
    <row r="284" spans="1:20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</row>
    <row r="285" spans="1:20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</row>
    <row r="286" spans="1:20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</row>
    <row r="287" spans="1:20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</row>
    <row r="288" spans="1:20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</row>
    <row r="289" spans="1:20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</row>
    <row r="290" spans="1:2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</row>
    <row r="291" spans="1:20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</row>
    <row r="292" spans="1:20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</row>
    <row r="293" spans="1:20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</row>
    <row r="294" spans="1:20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</row>
    <row r="295" spans="1:20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</row>
    <row r="296" spans="1:20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</row>
    <row r="297" spans="1:20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</row>
    <row r="298" spans="1:20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</row>
    <row r="299" spans="1:20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</row>
    <row r="300" spans="1:2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</row>
    <row r="301" spans="1:20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</row>
    <row r="302" spans="1:20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</row>
    <row r="303" spans="1:20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</row>
    <row r="304" spans="1:20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</row>
    <row r="305" spans="1:20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</row>
    <row r="306" spans="1:20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</row>
    <row r="307" spans="1:20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</row>
    <row r="308" spans="1:20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</row>
    <row r="309" spans="1:20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</row>
    <row r="310" spans="1:2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</row>
    <row r="311" spans="1:20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</row>
    <row r="312" spans="1:20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</row>
    <row r="313" spans="1:20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</row>
    <row r="314" spans="1:20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</row>
    <row r="315" spans="1:20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</row>
    <row r="316" spans="1:20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</row>
    <row r="317" spans="1:20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</row>
    <row r="318" spans="1:20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</row>
    <row r="319" spans="1:20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</row>
    <row r="320" spans="1: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</row>
    <row r="321" spans="1:20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</row>
    <row r="322" spans="1:20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</row>
    <row r="323" spans="1:20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</row>
    <row r="324" spans="1:20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</row>
    <row r="325" spans="1:20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</row>
    <row r="326" spans="1:20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</row>
    <row r="327" spans="1:20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</row>
    <row r="328" spans="1:20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</row>
    <row r="329" spans="1:20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</row>
    <row r="330" spans="1:2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</row>
    <row r="331" spans="1:20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</row>
    <row r="332" spans="1:20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</row>
    <row r="333" spans="1:20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</row>
    <row r="334" spans="1:20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</row>
    <row r="335" spans="1:20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</row>
    <row r="336" spans="1:20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</row>
    <row r="337" spans="1:20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</row>
    <row r="338" spans="1:20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</row>
    <row r="339" spans="1:20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</row>
    <row r="340" spans="1:2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</row>
    <row r="341" spans="1:20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</row>
    <row r="342" spans="1:20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</row>
    <row r="343" spans="1:20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</row>
    <row r="344" spans="1:20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</row>
    <row r="345" spans="1:20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</row>
    <row r="346" spans="1:20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</row>
    <row r="347" spans="1:20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</row>
    <row r="348" spans="1:20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</row>
    <row r="349" spans="1:20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</row>
    <row r="350" spans="1:2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</row>
    <row r="351" spans="1:20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</row>
    <row r="352" spans="1:20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</row>
    <row r="353" spans="1:20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</row>
    <row r="354" spans="1:20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</row>
    <row r="355" spans="1:20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</row>
    <row r="356" spans="1:20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</row>
    <row r="357" spans="1:20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</row>
    <row r="358" spans="1:20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</row>
    <row r="359" spans="1:20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</row>
    <row r="360" spans="1:2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</row>
    <row r="361" spans="1:20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</row>
    <row r="362" spans="1:20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</row>
    <row r="363" spans="1:20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</row>
    <row r="364" spans="1:20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</row>
    <row r="365" spans="1:20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</row>
    <row r="366" spans="1:20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</row>
    <row r="367" spans="1:20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</row>
    <row r="368" spans="1:20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</row>
    <row r="369" spans="1:20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</row>
    <row r="370" spans="1:2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</row>
    <row r="371" spans="1:20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</row>
    <row r="372" spans="1:20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</row>
    <row r="373" spans="1:20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</row>
    <row r="374" spans="1:20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</row>
    <row r="375" spans="1:20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</row>
    <row r="376" spans="1:20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</row>
    <row r="377" spans="1:20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</row>
    <row r="378" spans="1:20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</row>
    <row r="379" spans="1:20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</row>
    <row r="380" spans="1:2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</row>
    <row r="381" spans="1:20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</row>
    <row r="382" spans="1:20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</row>
    <row r="383" spans="1:20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</row>
    <row r="384" spans="1:20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</row>
    <row r="385" spans="1:20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</row>
    <row r="386" spans="1:20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</row>
    <row r="387" spans="1:20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</row>
    <row r="388" spans="1:20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</row>
    <row r="389" spans="1:20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</row>
    <row r="390" spans="1:2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</row>
    <row r="391" spans="1:20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</row>
    <row r="392" spans="1:20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</row>
    <row r="393" spans="1:20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</row>
    <row r="394" spans="1:20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</row>
    <row r="395" spans="1:20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</row>
    <row r="396" spans="1:20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</row>
    <row r="397" spans="1:20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</row>
    <row r="398" spans="1:20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</row>
    <row r="399" spans="1:20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</row>
    <row r="400" spans="1:2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</row>
    <row r="401" spans="1:20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</row>
    <row r="402" spans="1:20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</row>
    <row r="403" spans="1:20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</row>
    <row r="404" spans="1:20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</row>
    <row r="405" spans="1:20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</row>
    <row r="406" spans="1:20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</row>
    <row r="407" spans="1:20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</row>
    <row r="408" spans="1:20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</row>
    <row r="409" spans="1:20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</row>
    <row r="410" spans="1:2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</row>
    <row r="411" spans="1:20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</row>
    <row r="412" spans="1:20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</row>
    <row r="413" spans="1:20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</row>
    <row r="414" spans="1:20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</row>
    <row r="415" spans="1:20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</row>
    <row r="416" spans="1:20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</row>
    <row r="417" spans="1:20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</row>
    <row r="418" spans="1:20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</row>
    <row r="419" spans="1:20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</row>
    <row r="420" spans="1: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</row>
    <row r="421" spans="1:20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</row>
    <row r="422" spans="1:20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</row>
    <row r="423" spans="1:20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</row>
    <row r="424" spans="1:20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</row>
    <row r="425" spans="1:20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</row>
    <row r="426" spans="1:20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</row>
    <row r="427" spans="1:20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</row>
    <row r="428" spans="1:20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</row>
    <row r="429" spans="1:20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</row>
    <row r="430" spans="1:2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</row>
    <row r="431" spans="1:20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</row>
    <row r="432" spans="1:20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</row>
    <row r="433" spans="1:20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</row>
    <row r="434" spans="1:20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</row>
    <row r="435" spans="1:20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</row>
    <row r="436" spans="1:20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</row>
    <row r="437" spans="1:20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</row>
    <row r="438" spans="1:20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</row>
    <row r="439" spans="1:20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</row>
    <row r="440" spans="1:2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</row>
    <row r="441" spans="1:20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</row>
    <row r="442" spans="1:20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</row>
    <row r="443" spans="1:20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</row>
    <row r="444" spans="1:20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</row>
    <row r="445" spans="1:20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</row>
    <row r="446" spans="1:20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</row>
    <row r="447" spans="1:20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</row>
    <row r="448" spans="1:20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</row>
    <row r="449" spans="1:20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</row>
    <row r="450" spans="1:2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</row>
    <row r="451" spans="1:20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</row>
    <row r="452" spans="1:20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</row>
    <row r="453" spans="1:20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</row>
    <row r="454" spans="1:20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</row>
    <row r="455" spans="1:20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</row>
    <row r="456" spans="1:20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</row>
    <row r="457" spans="1:20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</row>
    <row r="458" spans="1:20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</row>
    <row r="459" spans="1:20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</row>
    <row r="460" spans="1:2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</row>
    <row r="461" spans="1:20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</row>
    <row r="462" spans="1:20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</row>
    <row r="463" spans="1:20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</row>
    <row r="464" spans="1:20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</row>
    <row r="465" spans="1:20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</row>
    <row r="466" spans="1:20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</row>
    <row r="467" spans="1:20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</row>
    <row r="468" spans="1:20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</row>
    <row r="469" spans="1:20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</row>
    <row r="470" spans="1:2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</row>
    <row r="471" spans="1:20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</row>
    <row r="472" spans="1:20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</row>
    <row r="473" spans="1:20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</row>
    <row r="474" spans="1:20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</row>
    <row r="475" spans="1:20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</row>
    <row r="476" spans="1:20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</row>
    <row r="477" spans="1:20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</row>
    <row r="478" spans="1:20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</row>
    <row r="479" spans="1:20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</row>
    <row r="480" spans="1:2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</row>
    <row r="481" spans="1:20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</row>
    <row r="482" spans="1:20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</row>
    <row r="483" spans="1:20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</row>
    <row r="484" spans="1:20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</row>
    <row r="485" spans="1:20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</row>
    <row r="486" spans="1:20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</row>
    <row r="487" spans="1:20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</row>
    <row r="488" spans="1:20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</row>
    <row r="489" spans="1:20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</row>
    <row r="490" spans="1:2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</row>
    <row r="491" spans="1:20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</row>
    <row r="492" spans="1:20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</row>
    <row r="493" spans="1:20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</row>
    <row r="494" spans="1:20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</row>
    <row r="495" spans="1:20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</row>
    <row r="496" spans="1:20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</row>
    <row r="497" spans="1:20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</row>
    <row r="498" spans="1:20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</row>
    <row r="499" spans="1:20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</row>
    <row r="500" spans="1:2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</row>
    <row r="501" spans="1:20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</row>
    <row r="502" spans="1:20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</row>
    <row r="503" spans="1:20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</row>
    <row r="504" spans="1:20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</row>
    <row r="505" spans="1:20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</row>
    <row r="506" spans="1:20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</row>
    <row r="507" spans="1:20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</row>
    <row r="508" spans="1:20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</row>
    <row r="509" spans="1:20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</row>
    <row r="510" spans="1:2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</row>
    <row r="511" spans="1:20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</row>
    <row r="512" spans="1:20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</row>
    <row r="513" spans="1:20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</row>
    <row r="514" spans="1:20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</row>
    <row r="515" spans="1:20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</row>
    <row r="516" spans="1:20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</row>
    <row r="517" spans="1:20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</row>
    <row r="518" spans="1:20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</row>
    <row r="519" spans="1:20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</row>
    <row r="520" spans="1: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</row>
    <row r="521" spans="1:20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</row>
    <row r="522" spans="1:20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</row>
    <row r="523" spans="1:20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</row>
    <row r="524" spans="1:20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</row>
    <row r="525" spans="1:20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</row>
    <row r="526" spans="1:20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</row>
    <row r="527" spans="1:20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</row>
    <row r="528" spans="1:20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</row>
    <row r="529" spans="1:20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</row>
    <row r="530" spans="1:2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</row>
    <row r="531" spans="1:20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</row>
    <row r="532" spans="1:20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</row>
    <row r="533" spans="1:20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</row>
    <row r="534" spans="1:20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</row>
    <row r="535" spans="1:20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</row>
    <row r="536" spans="1:20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</row>
    <row r="537" spans="1:20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</row>
    <row r="538" spans="1:20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</row>
    <row r="539" spans="1:20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</row>
    <row r="540" spans="1:2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</row>
    <row r="541" spans="1:20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</row>
    <row r="542" spans="1:20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</row>
    <row r="543" spans="1:20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</row>
    <row r="544" spans="1:20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</row>
    <row r="545" spans="1:20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</row>
    <row r="546" spans="1:20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</row>
    <row r="547" spans="1:20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</row>
    <row r="548" spans="1:20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</row>
    <row r="549" spans="1:20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</row>
    <row r="550" spans="1:2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</row>
    <row r="551" spans="1:20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</row>
    <row r="552" spans="1:20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</row>
    <row r="553" spans="1:20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</row>
    <row r="554" spans="1:20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</row>
    <row r="555" spans="1:20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</row>
    <row r="556" spans="1:20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</row>
    <row r="557" spans="1:20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</row>
    <row r="558" spans="1:20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</row>
    <row r="559" spans="1:20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</row>
    <row r="560" spans="1:2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</row>
    <row r="561" spans="1:20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</row>
    <row r="562" spans="1:20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</row>
    <row r="563" spans="1:20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</row>
    <row r="564" spans="1:20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</row>
    <row r="565" spans="1:20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</row>
    <row r="566" spans="1:20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</row>
    <row r="567" spans="1:20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</row>
    <row r="568" spans="1:20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</row>
    <row r="569" spans="1:20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</row>
    <row r="570" spans="1:2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</row>
    <row r="571" spans="1:20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</row>
    <row r="572" spans="1:20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</row>
    <row r="573" spans="1:20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</row>
    <row r="574" spans="1:20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</row>
    <row r="575" spans="1:20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</row>
    <row r="576" spans="1:20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</row>
    <row r="577" spans="1:20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</row>
    <row r="578" spans="1:20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</row>
    <row r="579" spans="1:20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</row>
    <row r="580" spans="1:2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</row>
    <row r="581" spans="1:20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</row>
    <row r="582" spans="1:20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</row>
    <row r="583" spans="1:20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</row>
    <row r="584" spans="1:20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</row>
    <row r="585" spans="1:20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</row>
    <row r="586" spans="1:20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</row>
    <row r="587" spans="1:20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</row>
    <row r="588" spans="1:20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</row>
    <row r="589" spans="1:20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</row>
    <row r="590" spans="1:2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</row>
    <row r="591" spans="1:20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</row>
    <row r="592" spans="1:20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</row>
    <row r="593" spans="1:20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</row>
    <row r="594" spans="1:20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</row>
    <row r="595" spans="1:20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</row>
    <row r="596" spans="1:20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</row>
    <row r="597" spans="1:20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</row>
    <row r="598" spans="1:20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</row>
    <row r="599" spans="1:20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</row>
    <row r="600" spans="1:2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</row>
    <row r="601" spans="1:20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</row>
    <row r="602" spans="1:20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</row>
    <row r="603" spans="1:20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</row>
    <row r="604" spans="1:20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</row>
    <row r="605" spans="1:20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</row>
    <row r="606" spans="1:20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</row>
    <row r="607" spans="1:20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</row>
    <row r="608" spans="1:20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</row>
    <row r="609" spans="1:20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</row>
    <row r="610" spans="1:2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</row>
    <row r="611" spans="1:20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</row>
    <row r="612" spans="1:20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</row>
    <row r="613" spans="1:20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</row>
    <row r="614" spans="1:20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</row>
    <row r="615" spans="1:20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</row>
    <row r="616" spans="1:20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</row>
    <row r="617" spans="1:20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</row>
    <row r="618" spans="1:20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</row>
    <row r="619" spans="1:20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</row>
    <row r="620" spans="1: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</row>
    <row r="621" spans="1:20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</row>
    <row r="622" spans="1:20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</row>
    <row r="623" spans="1:20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</row>
    <row r="624" spans="1:20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</row>
    <row r="625" spans="1:20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</row>
    <row r="626" spans="1:20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</row>
    <row r="627" spans="1:20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</row>
    <row r="628" spans="1:20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</row>
    <row r="629" spans="1:20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</row>
    <row r="630" spans="1:2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</row>
    <row r="631" spans="1:20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</row>
    <row r="632" spans="1:20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</row>
    <row r="633" spans="1:20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</row>
    <row r="634" spans="1:20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</row>
    <row r="635" spans="1:20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</row>
    <row r="636" spans="1:20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</row>
    <row r="637" spans="1:20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</row>
    <row r="638" spans="1:20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</row>
    <row r="639" spans="1:20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</row>
    <row r="640" spans="1:2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</row>
    <row r="641" spans="1:20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</row>
    <row r="642" spans="1:20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</row>
    <row r="643" spans="1:20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</row>
    <row r="644" spans="1:20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</row>
    <row r="645" spans="1:20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</row>
    <row r="646" spans="1:20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</row>
    <row r="647" spans="1:20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</row>
    <row r="648" spans="1:20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</row>
    <row r="649" spans="1:20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</row>
    <row r="650" spans="1:2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</row>
    <row r="651" spans="1:20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</row>
    <row r="652" spans="1:20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</row>
    <row r="653" spans="1:20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</row>
    <row r="654" spans="1:20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</row>
    <row r="655" spans="1:20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</row>
    <row r="656" spans="1:20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</row>
    <row r="657" spans="1:20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</row>
    <row r="658" spans="1:20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</row>
    <row r="659" spans="1:20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</row>
    <row r="660" spans="1:2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</row>
    <row r="661" spans="1:20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</row>
    <row r="662" spans="1:20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</row>
    <row r="663" spans="1:20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</row>
    <row r="664" spans="1:20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</row>
    <row r="665" spans="1:20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</row>
    <row r="666" spans="1:20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</row>
    <row r="667" spans="1:20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</row>
    <row r="668" spans="1:20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</row>
    <row r="669" spans="1:20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</row>
    <row r="670" spans="1:2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</row>
    <row r="671" spans="1:20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</row>
    <row r="672" spans="1:20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</row>
    <row r="673" spans="1:20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</row>
    <row r="674" spans="1:20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</row>
    <row r="675" spans="1:20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</row>
    <row r="676" spans="1:20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</row>
    <row r="677" spans="1:20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</row>
    <row r="678" spans="1:20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</row>
    <row r="679" spans="1:20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</row>
    <row r="680" spans="1:2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</row>
    <row r="681" spans="1:20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</row>
    <row r="682" spans="1:20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</row>
    <row r="683" spans="1:20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</row>
    <row r="684" spans="1:20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</row>
    <row r="685" spans="1:20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</row>
    <row r="686" spans="1:20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</row>
    <row r="687" spans="1:20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</row>
    <row r="688" spans="1:20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</row>
    <row r="689" spans="1:20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</row>
    <row r="690" spans="1:2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</row>
    <row r="691" spans="1:20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</row>
    <row r="692" spans="1:20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</row>
    <row r="693" spans="1:20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</row>
    <row r="694" spans="1:20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</row>
    <row r="695" spans="1:20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</row>
    <row r="696" spans="1:20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</row>
    <row r="697" spans="1:20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</row>
    <row r="698" spans="1:20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</row>
    <row r="699" spans="1:20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</row>
    <row r="700" spans="1:2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</row>
    <row r="701" spans="1:20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</row>
    <row r="702" spans="1:20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</row>
    <row r="703" spans="1:20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</row>
    <row r="704" spans="1:20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</row>
    <row r="705" spans="1:20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</row>
    <row r="706" spans="1:20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</row>
    <row r="707" spans="1:20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</row>
    <row r="708" spans="1:20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</row>
    <row r="709" spans="1:20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</row>
    <row r="710" spans="1:2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</row>
    <row r="711" spans="1:20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</row>
    <row r="712" spans="1:20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</row>
    <row r="713" spans="1:20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</row>
    <row r="714" spans="1:20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</row>
    <row r="715" spans="1:20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</row>
    <row r="716" spans="1:20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</row>
    <row r="717" spans="1:20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</row>
    <row r="718" spans="1:20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</row>
    <row r="719" spans="1:20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</row>
    <row r="720" spans="1: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</row>
    <row r="721" spans="1:20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</row>
    <row r="722" spans="1:20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</row>
    <row r="723" spans="1:20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</row>
    <row r="724" spans="1:20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</row>
    <row r="725" spans="1:20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</row>
    <row r="726" spans="1:20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</row>
    <row r="727" spans="1:20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</row>
    <row r="728" spans="1:20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</row>
    <row r="729" spans="1:20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</row>
    <row r="730" spans="1:2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</row>
    <row r="731" spans="1:20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</row>
    <row r="732" spans="1:20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</row>
    <row r="733" spans="1:20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</row>
    <row r="734" spans="1:20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</row>
    <row r="735" spans="1:20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</row>
    <row r="736" spans="1:20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</row>
    <row r="737" spans="1:20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</row>
    <row r="738" spans="1:20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</row>
    <row r="739" spans="1:20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</row>
    <row r="740" spans="1:2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</row>
    <row r="741" spans="1:20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</row>
    <row r="742" spans="1:20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</row>
    <row r="743" spans="1:20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</row>
    <row r="744" spans="1:20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</row>
    <row r="745" spans="1:20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</row>
    <row r="746" spans="1:20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</row>
    <row r="747" spans="1:20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</row>
    <row r="748" spans="1:20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</row>
    <row r="749" spans="1:20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</row>
    <row r="750" spans="1:2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</row>
    <row r="752" spans="1:20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</row>
    <row r="753" spans="1:20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</row>
    <row r="754" spans="1:20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</row>
    <row r="755" spans="1:20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</row>
    <row r="756" spans="1:20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</row>
    <row r="757" spans="1:20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</row>
    <row r="758" spans="1:20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</row>
    <row r="759" spans="1:20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</row>
    <row r="760" spans="1:2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</row>
    <row r="761" spans="1:20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</row>
    <row r="762" spans="1:20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</row>
    <row r="763" spans="1:20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</row>
    <row r="764" spans="1:20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</row>
    <row r="765" spans="1:20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</row>
    <row r="766" spans="1:20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</row>
    <row r="767" spans="1:20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</row>
    <row r="768" spans="1:20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</row>
    <row r="769" spans="1:20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</row>
    <row r="770" spans="1:2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</row>
    <row r="771" spans="1:20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</row>
    <row r="772" spans="1:20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</row>
    <row r="773" spans="1:20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</row>
    <row r="774" spans="1:20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</row>
    <row r="775" spans="1:20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</row>
    <row r="776" spans="1:20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</row>
    <row r="777" spans="1:20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</row>
    <row r="778" spans="1:20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</row>
    <row r="779" spans="1:20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</row>
    <row r="780" spans="1:2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</row>
    <row r="781" spans="1:20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</row>
    <row r="782" spans="1:20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</row>
    <row r="783" spans="1:20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</row>
    <row r="784" spans="1:20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</row>
    <row r="785" spans="1:20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</row>
    <row r="786" spans="1:20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</row>
    <row r="787" spans="1:20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</row>
    <row r="788" spans="1:20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</row>
    <row r="789" spans="1:20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</row>
    <row r="790" spans="1:2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</row>
    <row r="791" spans="1:20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</row>
    <row r="792" spans="1:20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</row>
    <row r="793" spans="1:20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</row>
    <row r="794" spans="1:20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</row>
    <row r="795" spans="1:20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</row>
    <row r="796" spans="1:20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</row>
    <row r="797" spans="1:20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</row>
    <row r="798" spans="1:20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</row>
    <row r="799" spans="1:20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</row>
    <row r="800" spans="1:2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</row>
    <row r="801" spans="1:20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</row>
    <row r="802" spans="1:20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</row>
    <row r="803" spans="1:20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</row>
    <row r="804" spans="1:20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</row>
    <row r="805" spans="1:20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</row>
    <row r="806" spans="1:20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</row>
    <row r="807" spans="1:20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</row>
    <row r="808" spans="1:20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</row>
    <row r="809" spans="1:20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</row>
    <row r="810" spans="1:2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</row>
    <row r="811" spans="1:20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</row>
    <row r="812" spans="1:20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</row>
    <row r="813" spans="1:20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</row>
    <row r="814" spans="1:20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</row>
    <row r="815" spans="1:20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</row>
    <row r="816" spans="1:20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</row>
    <row r="817" spans="1:20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</row>
    <row r="818" spans="1:20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</row>
    <row r="819" spans="1:20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</row>
    <row r="820" spans="1: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</row>
    <row r="821" spans="1:20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</row>
    <row r="822" spans="1:20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</row>
    <row r="823" spans="1:20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</row>
    <row r="824" spans="1:20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</row>
    <row r="825" spans="1:20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</row>
    <row r="826" spans="1:20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</row>
    <row r="827" spans="1:20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</row>
    <row r="828" spans="1:20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</row>
    <row r="829" spans="1:20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</row>
    <row r="830" spans="1:2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</row>
    <row r="831" spans="1:20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</row>
    <row r="832" spans="1:20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</row>
    <row r="833" spans="1:20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</row>
    <row r="834" spans="1:20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</row>
    <row r="835" spans="1:20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</row>
    <row r="836" spans="1:20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</row>
    <row r="837" spans="1:20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</row>
    <row r="838" spans="1:20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</row>
    <row r="839" spans="1:20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</row>
    <row r="840" spans="1:2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</row>
    <row r="841" spans="1:20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</row>
    <row r="842" spans="1:20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</row>
    <row r="843" spans="1:20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</row>
    <row r="844" spans="1:20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</row>
    <row r="845" spans="1:20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</row>
    <row r="846" spans="1:20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</row>
    <row r="847" spans="1:20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</row>
    <row r="848" spans="1:20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</row>
    <row r="849" spans="1:20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</row>
    <row r="850" spans="1:2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</row>
    <row r="851" spans="1:20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</row>
    <row r="852" spans="1:20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</row>
    <row r="853" spans="1:20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</row>
    <row r="854" spans="1:20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</row>
    <row r="855" spans="1:20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</row>
    <row r="856" spans="1:20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</row>
    <row r="857" spans="1:20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</row>
    <row r="858" spans="1:20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</row>
    <row r="859" spans="1:20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</row>
    <row r="860" spans="1:2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</row>
    <row r="861" spans="1:20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</row>
    <row r="862" spans="1:20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</row>
    <row r="863" spans="1:20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</row>
    <row r="864" spans="1:20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</row>
    <row r="865" spans="1:20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</row>
    <row r="866" spans="1:20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</row>
    <row r="867" spans="1:20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</row>
    <row r="868" spans="1:20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</row>
    <row r="869" spans="1:20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</row>
    <row r="870" spans="1:2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</row>
    <row r="871" spans="1:20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</row>
    <row r="872" spans="1:20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</row>
    <row r="873" spans="1:20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</row>
    <row r="874" spans="1:20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</row>
    <row r="875" spans="1:20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</row>
    <row r="876" spans="1:20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</row>
    <row r="877" spans="1:20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</row>
    <row r="878" spans="1:20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</row>
    <row r="879" spans="1:20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</row>
    <row r="880" spans="1:2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</row>
    <row r="881" spans="1:20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</row>
    <row r="882" spans="1:20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</row>
    <row r="883" spans="1:20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</row>
    <row r="884" spans="1:20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</row>
    <row r="885" spans="1:20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</row>
    <row r="886" spans="1:20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</row>
    <row r="887" spans="1:20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</row>
    <row r="888" spans="1:20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</row>
    <row r="889" spans="1:20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</row>
    <row r="890" spans="1:2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</row>
    <row r="891" spans="1:20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</row>
    <row r="892" spans="1:20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</row>
    <row r="893" spans="1:20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</row>
    <row r="894" spans="1:20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</row>
    <row r="895" spans="1:20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</row>
    <row r="896" spans="1:20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</row>
    <row r="897" spans="1:20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</row>
    <row r="898" spans="1:20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</row>
    <row r="899" spans="1:20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</row>
    <row r="900" spans="1:2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</row>
    <row r="901" spans="1:20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</row>
    <row r="902" spans="1:20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</row>
    <row r="903" spans="1:20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</row>
    <row r="904" spans="1:20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</row>
    <row r="905" spans="1:20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</row>
    <row r="906" spans="1:20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</row>
    <row r="907" spans="1:20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</row>
    <row r="908" spans="1:20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</row>
    <row r="909" spans="1:20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</row>
    <row r="910" spans="1:2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</row>
    <row r="911" spans="1:20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</row>
    <row r="912" spans="1:20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</row>
    <row r="913" spans="1:20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</row>
    <row r="914" spans="1:20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</row>
    <row r="915" spans="1:20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</row>
    <row r="916" spans="1:20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</row>
    <row r="917" spans="1:20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</row>
    <row r="918" spans="1:20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</row>
    <row r="919" spans="1:20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</row>
    <row r="920" spans="1: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</row>
    <row r="921" spans="1:20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</row>
    <row r="922" spans="1:20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</row>
    <row r="923" spans="1:20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</row>
    <row r="924" spans="1:20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</row>
    <row r="925" spans="1:20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</row>
    <row r="926" spans="1:20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</row>
    <row r="927" spans="1:20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</row>
    <row r="928" spans="1:20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</row>
    <row r="929" spans="1:20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</row>
    <row r="930" spans="1:2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</row>
    <row r="931" spans="1:20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</row>
    <row r="932" spans="1:20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</row>
    <row r="933" spans="1:20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</row>
    <row r="934" spans="1:20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</row>
    <row r="935" spans="1:20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</row>
    <row r="936" spans="1:20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</row>
    <row r="937" spans="1:20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</row>
    <row r="938" spans="1:20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</row>
    <row r="939" spans="1:20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</row>
    <row r="940" spans="1:2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</row>
    <row r="941" spans="1:20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</row>
    <row r="942" spans="1:20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</row>
    <row r="943" spans="1:20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</row>
    <row r="944" spans="1:20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</row>
    <row r="945" spans="1:20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</row>
    <row r="946" spans="1:20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</row>
    <row r="947" spans="1:20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</row>
    <row r="948" spans="1:20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</row>
    <row r="949" spans="1:20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</row>
    <row r="950" spans="1:2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</row>
    <row r="951" spans="1:20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</row>
    <row r="952" spans="1:20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</row>
    <row r="953" spans="1:20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</row>
    <row r="954" spans="1:20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</row>
    <row r="955" spans="1:20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</row>
    <row r="956" spans="1:20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</row>
    <row r="957" spans="1:20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</row>
    <row r="958" spans="1:20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</row>
    <row r="959" spans="1:20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</row>
    <row r="960" spans="1:2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</row>
    <row r="961" spans="1:20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</row>
    <row r="962" spans="1:20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</row>
    <row r="963" spans="1:20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</row>
    <row r="964" spans="1:20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</row>
    <row r="965" spans="1:20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</row>
    <row r="966" spans="1:20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</row>
    <row r="967" spans="1:20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</row>
    <row r="968" spans="1:20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</row>
    <row r="969" spans="1:20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</row>
    <row r="970" spans="1:2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</row>
    <row r="971" spans="1:20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</row>
    <row r="972" spans="1:20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</row>
    <row r="973" spans="1:20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</row>
    <row r="974" spans="1:20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</row>
    <row r="975" spans="1:20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</row>
    <row r="976" spans="1:20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</row>
    <row r="977" spans="1:20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</row>
    <row r="978" spans="1:20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</row>
    <row r="979" spans="1:20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</row>
    <row r="980" spans="1:2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</row>
    <row r="981" spans="1:20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</row>
    <row r="982" spans="1:20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</row>
    <row r="983" spans="1:20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</row>
    <row r="984" spans="1:20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</row>
    <row r="985" spans="1:20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</row>
    <row r="986" spans="1:20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</row>
    <row r="987" spans="1:20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</row>
    <row r="988" spans="1:20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</row>
    <row r="989" spans="1:20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</row>
    <row r="990" spans="1:2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</row>
    <row r="991" spans="1:20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</row>
    <row r="992" spans="1:20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</row>
    <row r="993" spans="1:20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</row>
    <row r="994" spans="1:20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</row>
    <row r="995" spans="1:20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</row>
    <row r="996" spans="1:20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</row>
    <row r="997" spans="1:20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</row>
    <row r="998" spans="1:20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</row>
    <row r="999" spans="1:20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</row>
    <row r="1000" spans="1:2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</row>
    <row r="1001" spans="1:20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</row>
    <row r="1002" spans="1:20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</row>
    <row r="1003" spans="1:20" ht="14.2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</row>
  </sheetData>
  <mergeCells count="18">
    <mergeCell ref="T37:T38"/>
    <mergeCell ref="I37:I38"/>
    <mergeCell ref="J37:J38"/>
    <mergeCell ref="K37:K38"/>
    <mergeCell ref="L37:L38"/>
    <mergeCell ref="M37:M38"/>
    <mergeCell ref="N37:N38"/>
    <mergeCell ref="O37:O38"/>
    <mergeCell ref="P37:P38"/>
    <mergeCell ref="Q37:Q38"/>
    <mergeCell ref="R37:R38"/>
    <mergeCell ref="S37:S38"/>
    <mergeCell ref="H37:H38"/>
    <mergeCell ref="A37:A38"/>
    <mergeCell ref="B37:B38"/>
    <mergeCell ref="C37:C38"/>
    <mergeCell ref="D37:D38"/>
    <mergeCell ref="G37:G38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26"/>
  <sheetViews>
    <sheetView workbookViewId="0">
      <pane ySplit="1" topLeftCell="A2" activePane="bottomLeft" state="frozen"/>
      <selection pane="bottomLeft" activeCell="H31" sqref="H31"/>
    </sheetView>
  </sheetViews>
  <sheetFormatPr defaultColWidth="12.6640625" defaultRowHeight="15" customHeight="1"/>
  <cols>
    <col min="3" max="3" width="22.77734375" customWidth="1"/>
    <col min="8" max="8" width="14.77734375" customWidth="1"/>
    <col min="9" max="9" width="15" customWidth="1"/>
  </cols>
  <sheetData>
    <row r="1" spans="1:9" ht="70.8" customHeight="1">
      <c r="A1" s="2" t="s">
        <v>102</v>
      </c>
      <c r="B1" s="2" t="s">
        <v>103</v>
      </c>
      <c r="C1" s="2" t="s">
        <v>104</v>
      </c>
      <c r="D1" s="2" t="s">
        <v>105</v>
      </c>
      <c r="E1" s="18" t="s">
        <v>107</v>
      </c>
      <c r="F1" s="2" t="s">
        <v>108</v>
      </c>
      <c r="G1" s="18" t="s">
        <v>354</v>
      </c>
      <c r="H1" s="18" t="s">
        <v>355</v>
      </c>
      <c r="I1" s="2" t="s">
        <v>356</v>
      </c>
    </row>
    <row r="2" spans="1:9" ht="14.4">
      <c r="A2" s="3">
        <v>53</v>
      </c>
      <c r="B2" s="3" t="s">
        <v>70</v>
      </c>
      <c r="C2" s="3" t="s">
        <v>133</v>
      </c>
      <c r="D2" s="3" t="s">
        <v>134</v>
      </c>
      <c r="E2" s="3">
        <f>500*60</f>
        <v>30000</v>
      </c>
      <c r="F2" s="3" t="s">
        <v>26</v>
      </c>
      <c r="G2" s="19">
        <v>4.583333333333333</v>
      </c>
      <c r="H2" s="20">
        <f t="shared" ref="H2:H8" si="0">E2*G2</f>
        <v>137500</v>
      </c>
      <c r="I2" s="129">
        <v>1</v>
      </c>
    </row>
    <row r="3" spans="1:9" ht="14.4">
      <c r="A3" s="3">
        <v>53</v>
      </c>
      <c r="B3" s="3" t="s">
        <v>70</v>
      </c>
      <c r="C3" s="3" t="s">
        <v>138</v>
      </c>
      <c r="D3" s="3" t="s">
        <v>134</v>
      </c>
      <c r="E3" s="21">
        <v>27000</v>
      </c>
      <c r="F3" s="22" t="s">
        <v>26</v>
      </c>
      <c r="G3" s="19">
        <v>4.583333333333333</v>
      </c>
      <c r="H3" s="19">
        <f t="shared" si="0"/>
        <v>123749.99999999999</v>
      </c>
      <c r="I3" s="120"/>
    </row>
    <row r="4" spans="1:9" ht="14.4">
      <c r="A4" s="3">
        <v>53</v>
      </c>
      <c r="B4" s="3" t="s">
        <v>70</v>
      </c>
      <c r="C4" s="22" t="s">
        <v>140</v>
      </c>
      <c r="D4" s="3" t="s">
        <v>134</v>
      </c>
      <c r="E4" s="21">
        <v>9000</v>
      </c>
      <c r="F4" s="22" t="s">
        <v>26</v>
      </c>
      <c r="G4" s="23">
        <v>4.5833333333333304</v>
      </c>
      <c r="H4" s="19">
        <f t="shared" si="0"/>
        <v>41249.999999999971</v>
      </c>
      <c r="I4" s="120"/>
    </row>
    <row r="5" spans="1:9" ht="14.4">
      <c r="A5" s="3">
        <v>53</v>
      </c>
      <c r="B5" s="22" t="s">
        <v>68</v>
      </c>
      <c r="C5" s="3" t="s">
        <v>133</v>
      </c>
      <c r="D5" s="3" t="s">
        <v>134</v>
      </c>
      <c r="E5" s="22">
        <v>50</v>
      </c>
      <c r="F5" s="22" t="s">
        <v>26</v>
      </c>
      <c r="G5" s="23">
        <v>120</v>
      </c>
      <c r="H5" s="20">
        <f t="shared" si="0"/>
        <v>6000</v>
      </c>
      <c r="I5" s="120"/>
    </row>
    <row r="6" spans="1:9" ht="14.4">
      <c r="A6" s="3">
        <v>53</v>
      </c>
      <c r="B6" s="3" t="s">
        <v>144</v>
      </c>
      <c r="C6" s="3" t="s">
        <v>145</v>
      </c>
      <c r="D6" s="3" t="s">
        <v>134</v>
      </c>
      <c r="E6" s="22">
        <v>100</v>
      </c>
      <c r="F6" s="22" t="s">
        <v>146</v>
      </c>
      <c r="G6" s="23">
        <v>50</v>
      </c>
      <c r="H6" s="20">
        <f t="shared" si="0"/>
        <v>5000</v>
      </c>
      <c r="I6" s="120"/>
    </row>
    <row r="7" spans="1:9" ht="14.4">
      <c r="A7" s="3">
        <v>53</v>
      </c>
      <c r="B7" s="3" t="s">
        <v>147</v>
      </c>
      <c r="C7" s="3" t="s">
        <v>145</v>
      </c>
      <c r="D7" s="3" t="s">
        <v>134</v>
      </c>
      <c r="E7" s="22">
        <v>35</v>
      </c>
      <c r="F7" s="22" t="s">
        <v>146</v>
      </c>
      <c r="G7" s="23">
        <v>100</v>
      </c>
      <c r="H7" s="20">
        <f t="shared" si="0"/>
        <v>3500</v>
      </c>
      <c r="I7" s="121"/>
    </row>
    <row r="8" spans="1:9" ht="41.4">
      <c r="A8" s="7">
        <v>54</v>
      </c>
      <c r="B8" s="7" t="s">
        <v>70</v>
      </c>
      <c r="C8" s="6" t="s">
        <v>148</v>
      </c>
      <c r="D8" s="7" t="s">
        <v>134</v>
      </c>
      <c r="E8" s="21">
        <v>6000</v>
      </c>
      <c r="F8" s="22" t="s">
        <v>26</v>
      </c>
      <c r="G8" s="19">
        <v>4.75</v>
      </c>
      <c r="H8" s="19">
        <f t="shared" si="0"/>
        <v>28500</v>
      </c>
      <c r="I8" s="129">
        <v>1</v>
      </c>
    </row>
    <row r="9" spans="1:9" ht="41.4">
      <c r="A9" s="7">
        <v>54</v>
      </c>
      <c r="B9" s="7" t="s">
        <v>68</v>
      </c>
      <c r="C9" s="6" t="s">
        <v>148</v>
      </c>
      <c r="D9" s="7" t="s">
        <v>134</v>
      </c>
      <c r="E9" s="22">
        <v>500</v>
      </c>
      <c r="F9" s="22" t="s">
        <v>26</v>
      </c>
      <c r="G9" s="20">
        <v>57.5</v>
      </c>
      <c r="H9" s="20">
        <v>28750</v>
      </c>
      <c r="I9" s="121"/>
    </row>
    <row r="10" spans="1:9" ht="14.4">
      <c r="A10" s="7">
        <v>55</v>
      </c>
      <c r="B10" s="7" t="s">
        <v>70</v>
      </c>
      <c r="C10" s="6" t="s">
        <v>151</v>
      </c>
      <c r="D10" s="7" t="s">
        <v>134</v>
      </c>
      <c r="E10" s="7">
        <v>130</v>
      </c>
      <c r="F10" s="22" t="s">
        <v>26</v>
      </c>
      <c r="G10" s="19">
        <v>4.25</v>
      </c>
      <c r="H10" s="19">
        <f t="shared" ref="H10:H24" si="1">E10*G10</f>
        <v>552.5</v>
      </c>
      <c r="I10" s="129">
        <v>1</v>
      </c>
    </row>
    <row r="11" spans="1:9" ht="27.6">
      <c r="A11" s="7">
        <v>55</v>
      </c>
      <c r="B11" s="7" t="s">
        <v>70</v>
      </c>
      <c r="C11" s="6" t="s">
        <v>154</v>
      </c>
      <c r="D11" s="7" t="s">
        <v>134</v>
      </c>
      <c r="E11" s="22">
        <v>80</v>
      </c>
      <c r="F11" s="22" t="s">
        <v>26</v>
      </c>
      <c r="G11" s="19">
        <v>4.25</v>
      </c>
      <c r="H11" s="19">
        <f t="shared" si="1"/>
        <v>340</v>
      </c>
      <c r="I11" s="120"/>
    </row>
    <row r="12" spans="1:9" ht="14.4">
      <c r="A12" s="7">
        <v>55</v>
      </c>
      <c r="B12" s="7" t="s">
        <v>70</v>
      </c>
      <c r="C12" s="6" t="s">
        <v>169</v>
      </c>
      <c r="D12" s="7" t="s">
        <v>134</v>
      </c>
      <c r="E12" s="22">
        <v>30000</v>
      </c>
      <c r="F12" s="22" t="s">
        <v>26</v>
      </c>
      <c r="G12" s="19">
        <v>4.25</v>
      </c>
      <c r="H12" s="19">
        <f t="shared" si="1"/>
        <v>127500</v>
      </c>
      <c r="I12" s="120"/>
    </row>
    <row r="13" spans="1:9" ht="14.4">
      <c r="A13" s="7">
        <v>55</v>
      </c>
      <c r="B13" s="7" t="s">
        <v>94</v>
      </c>
      <c r="C13" s="7" t="s">
        <v>196</v>
      </c>
      <c r="D13" s="7" t="s">
        <v>134</v>
      </c>
      <c r="E13" s="7">
        <v>2000</v>
      </c>
      <c r="F13" s="22" t="s">
        <v>26</v>
      </c>
      <c r="G13" s="23">
        <v>120</v>
      </c>
      <c r="H13" s="19">
        <f t="shared" si="1"/>
        <v>240000</v>
      </c>
      <c r="I13" s="120"/>
    </row>
    <row r="14" spans="1:9" ht="14.4">
      <c r="A14" s="7">
        <v>55</v>
      </c>
      <c r="B14" s="7" t="s">
        <v>94</v>
      </c>
      <c r="C14" s="7" t="s">
        <v>197</v>
      </c>
      <c r="D14" s="7" t="s">
        <v>134</v>
      </c>
      <c r="E14" s="7">
        <v>1500</v>
      </c>
      <c r="F14" s="22" t="s">
        <v>26</v>
      </c>
      <c r="G14" s="23">
        <v>120</v>
      </c>
      <c r="H14" s="19">
        <f t="shared" si="1"/>
        <v>180000</v>
      </c>
      <c r="I14" s="120"/>
    </row>
    <row r="15" spans="1:9" ht="14.4">
      <c r="A15" s="7">
        <v>55</v>
      </c>
      <c r="B15" s="7" t="s">
        <v>94</v>
      </c>
      <c r="C15" s="7" t="s">
        <v>204</v>
      </c>
      <c r="D15" s="7" t="s">
        <v>134</v>
      </c>
      <c r="E15" s="7">
        <v>2000</v>
      </c>
      <c r="F15" s="22" t="s">
        <v>26</v>
      </c>
      <c r="G15" s="23">
        <v>120</v>
      </c>
      <c r="H15" s="19">
        <f t="shared" si="1"/>
        <v>240000</v>
      </c>
      <c r="I15" s="121"/>
    </row>
    <row r="16" spans="1:9" ht="14.4">
      <c r="A16" s="7">
        <v>56</v>
      </c>
      <c r="B16" s="7" t="s">
        <v>70</v>
      </c>
      <c r="C16" s="6" t="s">
        <v>252</v>
      </c>
      <c r="D16" s="6" t="s">
        <v>134</v>
      </c>
      <c r="E16" s="7">
        <f>300*60</f>
        <v>18000</v>
      </c>
      <c r="F16" s="7" t="s">
        <v>26</v>
      </c>
      <c r="G16" s="23">
        <v>14.33</v>
      </c>
      <c r="H16" s="20">
        <f t="shared" si="1"/>
        <v>257940</v>
      </c>
      <c r="I16" s="129">
        <v>1</v>
      </c>
    </row>
    <row r="17" spans="1:9" ht="14.4">
      <c r="A17" s="7">
        <v>56</v>
      </c>
      <c r="B17" s="7" t="s">
        <v>70</v>
      </c>
      <c r="C17" s="6" t="s">
        <v>254</v>
      </c>
      <c r="D17" s="6" t="s">
        <v>134</v>
      </c>
      <c r="E17" s="7">
        <f>80*60</f>
        <v>4800</v>
      </c>
      <c r="F17" s="7" t="s">
        <v>26</v>
      </c>
      <c r="G17" s="24">
        <v>18</v>
      </c>
      <c r="H17" s="20">
        <f t="shared" si="1"/>
        <v>86400</v>
      </c>
      <c r="I17" s="120"/>
    </row>
    <row r="18" spans="1:9" ht="14.4">
      <c r="A18" s="7">
        <v>56</v>
      </c>
      <c r="B18" s="7" t="s">
        <v>70</v>
      </c>
      <c r="C18" s="6" t="s">
        <v>254</v>
      </c>
      <c r="D18" s="6" t="s">
        <v>134</v>
      </c>
      <c r="E18" s="7">
        <f>30*60</f>
        <v>1800</v>
      </c>
      <c r="F18" s="7" t="s">
        <v>26</v>
      </c>
      <c r="G18" s="24">
        <v>11.66</v>
      </c>
      <c r="H18" s="20">
        <f t="shared" si="1"/>
        <v>20988</v>
      </c>
      <c r="I18" s="120"/>
    </row>
    <row r="19" spans="1:9" ht="14.4">
      <c r="A19" s="7">
        <v>56</v>
      </c>
      <c r="B19" s="7" t="s">
        <v>70</v>
      </c>
      <c r="C19" s="6" t="s">
        <v>254</v>
      </c>
      <c r="D19" s="6" t="s">
        <v>134</v>
      </c>
      <c r="E19" s="7">
        <f t="shared" ref="E19:E20" si="2">180*60</f>
        <v>10800</v>
      </c>
      <c r="F19" s="7" t="s">
        <v>26</v>
      </c>
      <c r="G19" s="24">
        <v>12.66</v>
      </c>
      <c r="H19" s="20">
        <f t="shared" si="1"/>
        <v>136728</v>
      </c>
      <c r="I19" s="120"/>
    </row>
    <row r="20" spans="1:9" ht="14.4">
      <c r="A20" s="7">
        <v>56</v>
      </c>
      <c r="B20" s="7" t="s">
        <v>70</v>
      </c>
      <c r="C20" s="6" t="s">
        <v>254</v>
      </c>
      <c r="D20" s="6" t="s">
        <v>134</v>
      </c>
      <c r="E20" s="7">
        <f t="shared" si="2"/>
        <v>10800</v>
      </c>
      <c r="F20" s="7" t="s">
        <v>26</v>
      </c>
      <c r="G20" s="24">
        <v>15.83</v>
      </c>
      <c r="H20" s="20">
        <f t="shared" si="1"/>
        <v>170964</v>
      </c>
      <c r="I20" s="120"/>
    </row>
    <row r="21" spans="1:9" ht="14.4">
      <c r="A21" s="7">
        <v>56</v>
      </c>
      <c r="B21" s="7" t="s">
        <v>70</v>
      </c>
      <c r="C21" s="6" t="s">
        <v>259</v>
      </c>
      <c r="D21" s="6" t="s">
        <v>134</v>
      </c>
      <c r="E21" s="7">
        <f>1438*60</f>
        <v>86280</v>
      </c>
      <c r="F21" s="7" t="s">
        <v>26</v>
      </c>
      <c r="G21" s="24">
        <v>10.38</v>
      </c>
      <c r="H21" s="20">
        <f t="shared" si="1"/>
        <v>895586.4</v>
      </c>
      <c r="I21" s="120"/>
    </row>
    <row r="22" spans="1:9" ht="55.2">
      <c r="A22" s="7">
        <v>56</v>
      </c>
      <c r="B22" s="7" t="s">
        <v>70</v>
      </c>
      <c r="C22" s="6" t="s">
        <v>263</v>
      </c>
      <c r="D22" s="6" t="s">
        <v>134</v>
      </c>
      <c r="E22" s="7">
        <v>48000</v>
      </c>
      <c r="F22" s="7" t="s">
        <v>26</v>
      </c>
      <c r="G22" s="25">
        <v>5</v>
      </c>
      <c r="H22" s="20">
        <f t="shared" si="1"/>
        <v>240000</v>
      </c>
      <c r="I22" s="121"/>
    </row>
    <row r="23" spans="1:9" ht="14.4">
      <c r="A23" s="7">
        <v>58</v>
      </c>
      <c r="B23" s="7" t="s">
        <v>70</v>
      </c>
      <c r="C23" s="7" t="s">
        <v>271</v>
      </c>
      <c r="D23" s="7" t="s">
        <v>134</v>
      </c>
      <c r="E23" s="22">
        <v>15000</v>
      </c>
      <c r="F23" s="7" t="s">
        <v>26</v>
      </c>
      <c r="G23" s="24">
        <v>3.75</v>
      </c>
      <c r="H23" s="20">
        <f t="shared" si="1"/>
        <v>56250</v>
      </c>
      <c r="I23" s="22">
        <v>1</v>
      </c>
    </row>
    <row r="24" spans="1:9" ht="14.4">
      <c r="A24" s="22">
        <v>60</v>
      </c>
      <c r="B24" s="26" t="s">
        <v>70</v>
      </c>
      <c r="C24" s="26" t="s">
        <v>145</v>
      </c>
      <c r="D24" s="26" t="s">
        <v>317</v>
      </c>
      <c r="E24" s="26">
        <v>100</v>
      </c>
      <c r="F24" s="26" t="s">
        <v>26</v>
      </c>
      <c r="G24" s="22">
        <v>3.33</v>
      </c>
      <c r="H24" s="27">
        <f t="shared" si="1"/>
        <v>333</v>
      </c>
      <c r="I24" s="22">
        <v>1</v>
      </c>
    </row>
    <row r="25" spans="1:9" s="51" customFormat="1" ht="14.4">
      <c r="A25" s="49">
        <v>61</v>
      </c>
      <c r="B25" s="49" t="s">
        <v>94</v>
      </c>
      <c r="C25" s="49" t="s">
        <v>145</v>
      </c>
      <c r="D25" s="49" t="s">
        <v>317</v>
      </c>
      <c r="E25" s="50">
        <v>200</v>
      </c>
      <c r="F25" s="50" t="s">
        <v>26</v>
      </c>
      <c r="G25" s="44">
        <v>200</v>
      </c>
      <c r="H25" s="50">
        <f>E25*G25</f>
        <v>40000</v>
      </c>
      <c r="I25" s="44">
        <v>1</v>
      </c>
    </row>
    <row r="26" spans="1:9" s="52" customFormat="1" ht="15" customHeight="1">
      <c r="A26" s="46">
        <v>66</v>
      </c>
      <c r="B26" s="46" t="s">
        <v>68</v>
      </c>
      <c r="C26" s="46" t="s">
        <v>523</v>
      </c>
      <c r="D26" s="53" t="s">
        <v>317</v>
      </c>
      <c r="E26" s="54">
        <v>1500</v>
      </c>
      <c r="F26" s="55" t="s">
        <v>26</v>
      </c>
      <c r="G26" s="54">
        <v>52.5</v>
      </c>
      <c r="H26" s="56">
        <f>E26*G26</f>
        <v>78750</v>
      </c>
      <c r="I26" s="54">
        <v>1</v>
      </c>
    </row>
  </sheetData>
  <mergeCells count="4">
    <mergeCell ref="I2:I7"/>
    <mergeCell ref="I8:I9"/>
    <mergeCell ref="I10:I15"/>
    <mergeCell ref="I16:I22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D1000"/>
  <sheetViews>
    <sheetView topLeftCell="A36" workbookViewId="0">
      <selection activeCell="M29" sqref="M29"/>
    </sheetView>
  </sheetViews>
  <sheetFormatPr defaultColWidth="12.6640625" defaultRowHeight="15" customHeight="1"/>
  <cols>
    <col min="1" max="1" width="8.6640625" customWidth="1"/>
    <col min="2" max="2" width="10.21875" customWidth="1"/>
    <col min="3" max="3" width="9.6640625" customWidth="1"/>
    <col min="4" max="4" width="16.6640625" customWidth="1"/>
    <col min="5" max="26" width="8.6640625" customWidth="1"/>
  </cols>
  <sheetData>
    <row r="1" spans="2:4" ht="14.25" customHeight="1">
      <c r="B1" s="28" t="s">
        <v>437</v>
      </c>
      <c r="C1" s="28" t="s">
        <v>117</v>
      </c>
      <c r="D1" s="28" t="s">
        <v>118</v>
      </c>
    </row>
    <row r="2" spans="2:4" ht="14.25" customHeight="1">
      <c r="B2" s="28">
        <v>12000</v>
      </c>
      <c r="C2" s="30">
        <v>15.833333333333334</v>
      </c>
      <c r="D2" s="30">
        <f t="shared" ref="D2:D52" si="0">B2*C2</f>
        <v>190000</v>
      </c>
    </row>
    <row r="3" spans="2:4" ht="14.25" customHeight="1">
      <c r="B3" s="28">
        <v>57000</v>
      </c>
      <c r="C3" s="31">
        <v>6.25</v>
      </c>
      <c r="D3" s="30">
        <f t="shared" si="0"/>
        <v>356250</v>
      </c>
    </row>
    <row r="4" spans="2:4" ht="14.25" customHeight="1">
      <c r="B4" s="28">
        <v>9000</v>
      </c>
      <c r="C4" s="30">
        <v>4.583333333333333</v>
      </c>
      <c r="D4" s="30">
        <f t="shared" si="0"/>
        <v>41250</v>
      </c>
    </row>
    <row r="5" spans="2:4" ht="14.25" customHeight="1">
      <c r="B5" s="28">
        <v>30000</v>
      </c>
      <c r="C5" s="30">
        <v>4.583333333333333</v>
      </c>
      <c r="D5" s="30">
        <f t="shared" si="0"/>
        <v>137500</v>
      </c>
    </row>
    <row r="6" spans="2:4" ht="14.25" customHeight="1">
      <c r="B6" s="28">
        <v>24000</v>
      </c>
      <c r="C6" s="30">
        <v>4.583333333333333</v>
      </c>
      <c r="D6" s="30">
        <f t="shared" si="0"/>
        <v>110000</v>
      </c>
    </row>
    <row r="7" spans="2:4" ht="14.25" customHeight="1">
      <c r="B7" s="28">
        <v>27000</v>
      </c>
      <c r="C7" s="30">
        <v>4.583333333333333</v>
      </c>
      <c r="D7" s="30">
        <f t="shared" si="0"/>
        <v>123749.99999999999</v>
      </c>
    </row>
    <row r="8" spans="2:4" ht="14.25" customHeight="1">
      <c r="B8" s="28">
        <v>9000</v>
      </c>
      <c r="C8" s="30">
        <v>4.583333333333333</v>
      </c>
      <c r="D8" s="30">
        <f t="shared" si="0"/>
        <v>41250</v>
      </c>
    </row>
    <row r="9" spans="2:4" ht="14.25" customHeight="1">
      <c r="B9" s="28">
        <v>6000</v>
      </c>
      <c r="C9" s="30">
        <v>4.75</v>
      </c>
      <c r="D9" s="30">
        <f t="shared" si="0"/>
        <v>28500</v>
      </c>
    </row>
    <row r="10" spans="2:4" ht="14.25" customHeight="1">
      <c r="B10" s="28">
        <v>130</v>
      </c>
      <c r="C10" s="30">
        <v>4.25</v>
      </c>
      <c r="D10" s="30">
        <f t="shared" si="0"/>
        <v>552.5</v>
      </c>
    </row>
    <row r="11" spans="2:4" ht="14.25" customHeight="1">
      <c r="B11" s="28">
        <v>80</v>
      </c>
      <c r="C11" s="30">
        <v>4.25</v>
      </c>
      <c r="D11" s="30">
        <f t="shared" si="0"/>
        <v>340</v>
      </c>
    </row>
    <row r="12" spans="2:4" ht="14.25" customHeight="1">
      <c r="B12" s="28">
        <v>80</v>
      </c>
      <c r="C12" s="30">
        <v>4.25</v>
      </c>
      <c r="D12" s="30">
        <f t="shared" si="0"/>
        <v>340</v>
      </c>
    </row>
    <row r="13" spans="2:4" ht="14.25" customHeight="1">
      <c r="B13" s="28">
        <v>60</v>
      </c>
      <c r="C13" s="30">
        <v>4.25</v>
      </c>
      <c r="D13" s="30">
        <f t="shared" si="0"/>
        <v>255</v>
      </c>
    </row>
    <row r="14" spans="2:4" ht="14.25" customHeight="1">
      <c r="B14" s="28">
        <v>55</v>
      </c>
      <c r="C14" s="30">
        <v>4.25</v>
      </c>
      <c r="D14" s="30">
        <f t="shared" si="0"/>
        <v>233.75</v>
      </c>
    </row>
    <row r="15" spans="2:4" ht="14.25" customHeight="1">
      <c r="B15" s="28">
        <v>78000</v>
      </c>
      <c r="C15" s="30">
        <v>4.25</v>
      </c>
      <c r="D15" s="30">
        <f t="shared" si="0"/>
        <v>331500</v>
      </c>
    </row>
    <row r="16" spans="2:4" ht="14.25" customHeight="1">
      <c r="B16" s="28">
        <v>63000</v>
      </c>
      <c r="C16" s="30">
        <v>4.25</v>
      </c>
      <c r="D16" s="30">
        <f t="shared" si="0"/>
        <v>267750</v>
      </c>
    </row>
    <row r="17" spans="2:4" ht="14.25" customHeight="1">
      <c r="B17" s="28">
        <v>30000</v>
      </c>
      <c r="C17" s="30">
        <v>4.25</v>
      </c>
      <c r="D17" s="30">
        <f t="shared" si="0"/>
        <v>127500</v>
      </c>
    </row>
    <row r="18" spans="2:4" ht="14.25" customHeight="1">
      <c r="B18" s="28">
        <v>21000</v>
      </c>
      <c r="C18" s="30">
        <v>4.25</v>
      </c>
      <c r="D18" s="30">
        <f t="shared" si="0"/>
        <v>89250</v>
      </c>
    </row>
    <row r="19" spans="2:4" ht="14.25" customHeight="1">
      <c r="B19" s="28">
        <v>18000</v>
      </c>
      <c r="C19" s="30">
        <v>4.25</v>
      </c>
      <c r="D19" s="30">
        <f t="shared" si="0"/>
        <v>76500</v>
      </c>
    </row>
    <row r="20" spans="2:4" ht="14.25" customHeight="1">
      <c r="B20" s="28">
        <v>5400</v>
      </c>
      <c r="C20" s="30">
        <v>4.25</v>
      </c>
      <c r="D20" s="30">
        <f t="shared" si="0"/>
        <v>22950</v>
      </c>
    </row>
    <row r="21" spans="2:4" ht="14.25" customHeight="1">
      <c r="B21" s="28">
        <v>14700</v>
      </c>
      <c r="C21" s="30">
        <v>4.25</v>
      </c>
      <c r="D21" s="30">
        <f t="shared" si="0"/>
        <v>62475</v>
      </c>
    </row>
    <row r="22" spans="2:4" ht="14.25" customHeight="1">
      <c r="B22" s="28">
        <v>9000</v>
      </c>
      <c r="C22" s="30">
        <v>4.25</v>
      </c>
      <c r="D22" s="30">
        <f t="shared" si="0"/>
        <v>38250</v>
      </c>
    </row>
    <row r="23" spans="2:4" ht="14.25" customHeight="1">
      <c r="B23" s="28">
        <v>30000</v>
      </c>
      <c r="C23" s="30">
        <v>14.333333333333334</v>
      </c>
      <c r="D23" s="30">
        <f t="shared" si="0"/>
        <v>430000</v>
      </c>
    </row>
    <row r="24" spans="2:4" ht="14.25" customHeight="1">
      <c r="B24" s="28">
        <v>18000</v>
      </c>
      <c r="C24" s="30">
        <v>18</v>
      </c>
      <c r="D24" s="30">
        <f t="shared" si="0"/>
        <v>324000</v>
      </c>
    </row>
    <row r="25" spans="2:4" ht="14.25" customHeight="1">
      <c r="B25" s="28">
        <v>4800</v>
      </c>
      <c r="C25" s="30">
        <v>11.666666666666666</v>
      </c>
      <c r="D25" s="30">
        <f t="shared" si="0"/>
        <v>56000</v>
      </c>
    </row>
    <row r="26" spans="2:4" ht="14.25" customHeight="1">
      <c r="B26" s="28">
        <v>10800</v>
      </c>
      <c r="C26" s="30">
        <v>12.666666666666666</v>
      </c>
      <c r="D26" s="30">
        <f t="shared" si="0"/>
        <v>136800</v>
      </c>
    </row>
    <row r="27" spans="2:4" ht="14.25" customHeight="1">
      <c r="B27" s="28">
        <v>15000</v>
      </c>
      <c r="C27" s="30">
        <v>15.833333333333334</v>
      </c>
      <c r="D27" s="30">
        <f t="shared" si="0"/>
        <v>237500</v>
      </c>
    </row>
    <row r="28" spans="2:4" ht="14.25" customHeight="1">
      <c r="B28" s="28">
        <v>86280</v>
      </c>
      <c r="C28" s="30">
        <v>10.375</v>
      </c>
      <c r="D28" s="30">
        <f t="shared" si="0"/>
        <v>895155</v>
      </c>
    </row>
    <row r="29" spans="2:4" ht="14.25" customHeight="1">
      <c r="B29" s="28">
        <v>18000</v>
      </c>
      <c r="C29" s="30">
        <v>1.0416666666666667</v>
      </c>
      <c r="D29" s="30">
        <f t="shared" si="0"/>
        <v>18750</v>
      </c>
    </row>
    <row r="30" spans="2:4" ht="14.25" customHeight="1">
      <c r="B30" s="28">
        <v>72000</v>
      </c>
      <c r="C30" s="30">
        <v>5</v>
      </c>
      <c r="D30" s="30">
        <f t="shared" si="0"/>
        <v>360000</v>
      </c>
    </row>
    <row r="31" spans="2:4" ht="14.25" customHeight="1">
      <c r="B31" s="28">
        <v>7200</v>
      </c>
      <c r="C31" s="30">
        <v>4.166666666666667</v>
      </c>
      <c r="D31" s="30">
        <f t="shared" si="0"/>
        <v>30000.000000000004</v>
      </c>
    </row>
    <row r="32" spans="2:4" ht="14.25" customHeight="1">
      <c r="B32" s="28">
        <v>1200</v>
      </c>
      <c r="C32" s="30">
        <v>10.833333333333334</v>
      </c>
      <c r="D32" s="30">
        <f t="shared" si="0"/>
        <v>13000</v>
      </c>
    </row>
    <row r="33" spans="2:4" ht="14.25" customHeight="1">
      <c r="B33" s="28">
        <v>1200</v>
      </c>
      <c r="C33" s="30">
        <v>10.833333333333334</v>
      </c>
      <c r="D33" s="30">
        <f t="shared" si="0"/>
        <v>13000</v>
      </c>
    </row>
    <row r="34" spans="2:4" ht="14.25" customHeight="1">
      <c r="B34" s="28">
        <v>1200</v>
      </c>
      <c r="C34" s="30">
        <v>10.833333333333334</v>
      </c>
      <c r="D34" s="30">
        <f t="shared" si="0"/>
        <v>13000</v>
      </c>
    </row>
    <row r="35" spans="2:4" ht="14.25" customHeight="1">
      <c r="B35" s="28">
        <v>1200</v>
      </c>
      <c r="C35" s="30">
        <v>10.833333333333334</v>
      </c>
      <c r="D35" s="30">
        <f t="shared" si="0"/>
        <v>13000</v>
      </c>
    </row>
    <row r="36" spans="2:4" ht="14.25" customHeight="1">
      <c r="B36" s="28">
        <v>15000</v>
      </c>
      <c r="C36" s="30">
        <v>3.75</v>
      </c>
      <c r="D36" s="30">
        <f t="shared" si="0"/>
        <v>56250</v>
      </c>
    </row>
    <row r="37" spans="2:4" ht="14.25" customHeight="1">
      <c r="B37" s="28">
        <v>9000</v>
      </c>
      <c r="C37" s="30">
        <v>2.5</v>
      </c>
      <c r="D37" s="30">
        <f t="shared" si="0"/>
        <v>22500</v>
      </c>
    </row>
    <row r="38" spans="2:4" ht="14.25" customHeight="1">
      <c r="B38" s="28">
        <v>36000</v>
      </c>
      <c r="C38" s="30">
        <v>5</v>
      </c>
      <c r="D38" s="30">
        <f t="shared" si="0"/>
        <v>180000</v>
      </c>
    </row>
    <row r="39" spans="2:4" ht="14.25" customHeight="1">
      <c r="B39" s="28">
        <v>30000</v>
      </c>
      <c r="C39" s="30">
        <v>5</v>
      </c>
      <c r="D39" s="30">
        <f t="shared" si="0"/>
        <v>150000</v>
      </c>
    </row>
    <row r="40" spans="2:4" ht="14.25" customHeight="1">
      <c r="B40" s="28">
        <v>60000</v>
      </c>
      <c r="C40" s="30">
        <v>5</v>
      </c>
      <c r="D40" s="30">
        <f t="shared" si="0"/>
        <v>300000</v>
      </c>
    </row>
    <row r="41" spans="2:4" ht="14.25" customHeight="1">
      <c r="B41" s="28">
        <v>36000</v>
      </c>
      <c r="C41" s="30">
        <v>5</v>
      </c>
      <c r="D41" s="30">
        <f t="shared" si="0"/>
        <v>180000</v>
      </c>
    </row>
    <row r="42" spans="2:4" ht="14.25" customHeight="1">
      <c r="B42" s="28">
        <v>60000</v>
      </c>
      <c r="C42" s="30">
        <v>5.333333333333333</v>
      </c>
      <c r="D42" s="30">
        <f t="shared" si="0"/>
        <v>320000</v>
      </c>
    </row>
    <row r="43" spans="2:4" ht="14.25" customHeight="1">
      <c r="B43" s="28">
        <v>120000</v>
      </c>
      <c r="C43" s="30">
        <v>5.333333333333333</v>
      </c>
      <c r="D43" s="30">
        <f t="shared" si="0"/>
        <v>640000</v>
      </c>
    </row>
    <row r="44" spans="2:4" ht="14.25" customHeight="1">
      <c r="B44" s="28">
        <v>30000</v>
      </c>
      <c r="C44" s="30">
        <v>5.333333333333333</v>
      </c>
      <c r="D44" s="30">
        <f t="shared" si="0"/>
        <v>160000</v>
      </c>
    </row>
    <row r="45" spans="2:4" ht="14.25" customHeight="1">
      <c r="B45" s="28">
        <v>24000</v>
      </c>
      <c r="C45" s="30">
        <v>5.333333333333333</v>
      </c>
      <c r="D45" s="30">
        <f t="shared" si="0"/>
        <v>128000</v>
      </c>
    </row>
    <row r="46" spans="2:4" ht="14.25" customHeight="1">
      <c r="B46" s="28">
        <v>24000</v>
      </c>
      <c r="C46" s="30">
        <v>5</v>
      </c>
      <c r="D46" s="30">
        <f t="shared" si="0"/>
        <v>120000</v>
      </c>
    </row>
    <row r="47" spans="2:4" ht="14.25" customHeight="1">
      <c r="B47" s="28">
        <v>180000</v>
      </c>
      <c r="C47" s="30">
        <v>5.833333333333333</v>
      </c>
      <c r="D47" s="30">
        <f t="shared" si="0"/>
        <v>1050000</v>
      </c>
    </row>
    <row r="48" spans="2:4" ht="14.25" customHeight="1">
      <c r="B48" s="28">
        <v>300000</v>
      </c>
      <c r="C48" s="30">
        <v>5.833333333333333</v>
      </c>
      <c r="D48" s="30">
        <f t="shared" si="0"/>
        <v>1750000</v>
      </c>
    </row>
    <row r="49" spans="2:4" ht="14.25" customHeight="1">
      <c r="B49" s="28">
        <v>18000</v>
      </c>
      <c r="C49" s="30">
        <v>5.833333333333333</v>
      </c>
      <c r="D49" s="30">
        <f t="shared" si="0"/>
        <v>105000</v>
      </c>
    </row>
    <row r="50" spans="2:4" ht="14.25" customHeight="1">
      <c r="B50" s="28">
        <v>90000</v>
      </c>
      <c r="C50" s="30">
        <v>5.833333333333333</v>
      </c>
      <c r="D50" s="30">
        <f t="shared" si="0"/>
        <v>525000</v>
      </c>
    </row>
    <row r="51" spans="2:4" ht="14.25" customHeight="1">
      <c r="B51" s="28">
        <v>120000</v>
      </c>
      <c r="C51" s="30">
        <v>5.833333333333333</v>
      </c>
      <c r="D51" s="30">
        <f t="shared" si="0"/>
        <v>700000</v>
      </c>
    </row>
    <row r="52" spans="2:4" ht="14.25" customHeight="1">
      <c r="B52" s="28">
        <v>600000</v>
      </c>
      <c r="C52" s="30">
        <v>6.3333000000000004</v>
      </c>
      <c r="D52" s="30">
        <f t="shared" si="0"/>
        <v>3799980</v>
      </c>
    </row>
    <row r="53" spans="2:4" ht="14.25" customHeight="1">
      <c r="B53" s="32">
        <f>SUM(B2:B52)/1000</f>
        <v>2432.3850000000002</v>
      </c>
      <c r="C53" s="33">
        <f>AVERAGE(C2:C52)</f>
        <v>6.4607836601307147</v>
      </c>
      <c r="D53" s="33">
        <f>SUM(D2:D52)</f>
        <v>14773331.25</v>
      </c>
    </row>
    <row r="54" spans="2:4" ht="14.25" customHeight="1">
      <c r="B54" s="28">
        <f>SUM(B2:B52)/60</f>
        <v>40539.75</v>
      </c>
    </row>
    <row r="55" spans="2:4" ht="14.25" customHeight="1"/>
    <row r="56" spans="2:4" ht="14.25" customHeight="1"/>
    <row r="57" spans="2:4" ht="14.25" customHeight="1"/>
    <row r="58" spans="2:4" ht="14.25" customHeight="1"/>
    <row r="59" spans="2:4" ht="14.25" customHeight="1"/>
    <row r="60" spans="2:4" ht="14.25" customHeight="1"/>
    <row r="61" spans="2:4" ht="14.25" customHeight="1"/>
    <row r="62" spans="2:4" ht="14.25" customHeight="1"/>
    <row r="63" spans="2:4" ht="14.25" customHeight="1"/>
    <row r="64" spans="2: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I1000"/>
  <sheetViews>
    <sheetView workbookViewId="0"/>
  </sheetViews>
  <sheetFormatPr defaultColWidth="12.6640625" defaultRowHeight="15" customHeight="1"/>
  <cols>
    <col min="1" max="2" width="8.6640625" customWidth="1"/>
    <col min="3" max="3" width="10.44140625" customWidth="1"/>
    <col min="4" max="5" width="15.6640625" customWidth="1"/>
    <col min="6" max="7" width="8.6640625" customWidth="1"/>
    <col min="8" max="8" width="10.44140625" customWidth="1"/>
    <col min="9" max="9" width="15.6640625" customWidth="1"/>
    <col min="10" max="26" width="8.6640625" customWidth="1"/>
  </cols>
  <sheetData>
    <row r="1" spans="2:9" ht="14.25" customHeight="1">
      <c r="B1" s="28">
        <v>30</v>
      </c>
      <c r="C1" s="28">
        <v>125</v>
      </c>
      <c r="D1" s="28">
        <v>3750</v>
      </c>
      <c r="G1" s="28">
        <v>1200</v>
      </c>
      <c r="H1" s="28">
        <v>65</v>
      </c>
      <c r="I1" s="28">
        <v>78000</v>
      </c>
    </row>
    <row r="2" spans="2:9" ht="14.25" customHeight="1">
      <c r="B2" s="28">
        <v>50</v>
      </c>
      <c r="C2" s="28">
        <v>120</v>
      </c>
      <c r="D2" s="28">
        <v>6000</v>
      </c>
      <c r="G2" s="28">
        <v>2100</v>
      </c>
      <c r="H2" s="34">
        <v>66.13</v>
      </c>
      <c r="I2" s="28">
        <v>287700</v>
      </c>
    </row>
    <row r="3" spans="2:9" ht="14.25" customHeight="1">
      <c r="B3" s="28">
        <v>500</v>
      </c>
      <c r="C3" s="28">
        <v>57.5</v>
      </c>
      <c r="D3" s="28">
        <v>28750</v>
      </c>
      <c r="G3" s="28">
        <v>3500</v>
      </c>
      <c r="H3" s="34">
        <v>66.13</v>
      </c>
      <c r="I3" s="28">
        <v>490000</v>
      </c>
    </row>
    <row r="4" spans="2:9" ht="14.25" customHeight="1">
      <c r="B4" s="28">
        <v>4000</v>
      </c>
      <c r="C4" s="28">
        <v>120</v>
      </c>
      <c r="D4" s="28">
        <v>480000</v>
      </c>
      <c r="G4" s="28">
        <v>500</v>
      </c>
      <c r="H4" s="34">
        <v>66.13</v>
      </c>
      <c r="I4" s="28">
        <v>67500</v>
      </c>
    </row>
    <row r="5" spans="2:9" ht="14.25" customHeight="1">
      <c r="B5" s="28">
        <v>7000</v>
      </c>
      <c r="C5" s="28">
        <v>120</v>
      </c>
      <c r="D5" s="28">
        <v>840000</v>
      </c>
      <c r="G5" s="28">
        <v>600</v>
      </c>
      <c r="H5" s="34">
        <v>66.13</v>
      </c>
      <c r="I5" s="28">
        <v>82500</v>
      </c>
    </row>
    <row r="6" spans="2:9" ht="14.25" customHeight="1">
      <c r="B6" s="28">
        <v>3500</v>
      </c>
      <c r="C6" s="28">
        <v>120</v>
      </c>
      <c r="D6" s="28">
        <v>420000</v>
      </c>
      <c r="G6" s="28">
        <v>700</v>
      </c>
      <c r="H6" s="34">
        <v>66.13</v>
      </c>
      <c r="I6" s="28">
        <v>96250</v>
      </c>
    </row>
    <row r="7" spans="2:9" ht="14.25" customHeight="1">
      <c r="B7" s="28">
        <v>4000</v>
      </c>
      <c r="C7" s="28">
        <v>120</v>
      </c>
      <c r="D7" s="28">
        <v>480000</v>
      </c>
      <c r="G7" s="28">
        <v>400</v>
      </c>
      <c r="H7" s="28">
        <v>68.5</v>
      </c>
      <c r="I7" s="28">
        <v>27400</v>
      </c>
    </row>
    <row r="8" spans="2:9" ht="14.25" customHeight="1">
      <c r="B8" s="28">
        <v>3000</v>
      </c>
      <c r="C8" s="28">
        <v>120</v>
      </c>
      <c r="D8" s="28">
        <v>360000</v>
      </c>
      <c r="G8" s="28">
        <v>900</v>
      </c>
      <c r="H8" s="28">
        <v>65</v>
      </c>
      <c r="I8" s="28">
        <v>58500</v>
      </c>
    </row>
    <row r="9" spans="2:9" ht="14.25" customHeight="1">
      <c r="B9" s="28">
        <v>2000</v>
      </c>
      <c r="C9" s="28">
        <v>120</v>
      </c>
      <c r="D9" s="28">
        <v>240000</v>
      </c>
      <c r="G9" s="28">
        <v>2000</v>
      </c>
      <c r="H9" s="28">
        <v>66</v>
      </c>
      <c r="I9" s="28">
        <v>132000</v>
      </c>
    </row>
    <row r="10" spans="2:9" ht="14.25" customHeight="1">
      <c r="B10" s="28">
        <v>3000</v>
      </c>
      <c r="C10" s="28">
        <v>120</v>
      </c>
      <c r="D10" s="28">
        <v>360000</v>
      </c>
      <c r="G10" s="32">
        <f>SUM(G1:G9)/1000</f>
        <v>11.9</v>
      </c>
      <c r="H10" s="33">
        <f>AVERAGE(H1:H9)</f>
        <v>66.12777777777778</v>
      </c>
      <c r="I10" s="33">
        <f>SUM(I1:I9)</f>
        <v>1319850</v>
      </c>
    </row>
    <row r="11" spans="2:9" ht="14.25" customHeight="1">
      <c r="B11" s="28">
        <v>2000</v>
      </c>
      <c r="C11" s="28">
        <v>120</v>
      </c>
      <c r="D11" s="28">
        <v>240000</v>
      </c>
      <c r="G11" s="32">
        <f t="shared" ref="G11:I11" si="0">B36</f>
        <v>52.83</v>
      </c>
      <c r="H11" s="33">
        <f t="shared" si="0"/>
        <v>121.48571428571428</v>
      </c>
      <c r="I11" s="33">
        <f t="shared" si="0"/>
        <v>6443250</v>
      </c>
    </row>
    <row r="12" spans="2:9" ht="14.25" customHeight="1">
      <c r="B12" s="28">
        <v>1500</v>
      </c>
      <c r="C12" s="28">
        <v>120</v>
      </c>
      <c r="D12" s="28">
        <v>180000</v>
      </c>
      <c r="G12" s="32">
        <f>SUM(G10:G11)</f>
        <v>64.73</v>
      </c>
      <c r="H12" s="32"/>
      <c r="I12" s="33">
        <f>SUM(I10:I11)</f>
        <v>7763100</v>
      </c>
    </row>
    <row r="13" spans="2:9" ht="14.25" customHeight="1">
      <c r="B13" s="28">
        <v>3000</v>
      </c>
      <c r="C13" s="28">
        <v>120</v>
      </c>
      <c r="D13" s="28">
        <v>360000</v>
      </c>
    </row>
    <row r="14" spans="2:9" ht="14.25" customHeight="1">
      <c r="B14" s="28">
        <v>700</v>
      </c>
      <c r="C14" s="28">
        <v>120</v>
      </c>
      <c r="D14" s="28">
        <v>84000</v>
      </c>
    </row>
    <row r="15" spans="2:9" ht="14.25" customHeight="1">
      <c r="B15" s="28">
        <v>600</v>
      </c>
      <c r="C15" s="28">
        <v>120</v>
      </c>
      <c r="D15" s="28">
        <v>72000</v>
      </c>
    </row>
    <row r="16" spans="2:9" ht="14.25" customHeight="1">
      <c r="B16" s="28">
        <v>700</v>
      </c>
      <c r="C16" s="28">
        <v>120</v>
      </c>
      <c r="D16" s="28">
        <v>84000</v>
      </c>
    </row>
    <row r="17" spans="2:4" ht="14.25" customHeight="1">
      <c r="B17" s="28">
        <v>2000</v>
      </c>
      <c r="C17" s="28">
        <v>120</v>
      </c>
      <c r="D17" s="28">
        <v>240000</v>
      </c>
    </row>
    <row r="18" spans="2:4" ht="14.25" customHeight="1">
      <c r="B18" s="28">
        <v>600</v>
      </c>
      <c r="C18" s="28">
        <v>120</v>
      </c>
      <c r="D18" s="28">
        <v>72000</v>
      </c>
    </row>
    <row r="19" spans="2:4" ht="14.25" customHeight="1">
      <c r="B19" s="28">
        <v>1500</v>
      </c>
      <c r="C19" s="28">
        <v>120</v>
      </c>
      <c r="D19" s="28">
        <v>180000</v>
      </c>
    </row>
    <row r="20" spans="2:4" ht="14.25" customHeight="1">
      <c r="B20" s="28">
        <v>700</v>
      </c>
      <c r="C20" s="28">
        <v>120</v>
      </c>
      <c r="D20" s="28">
        <v>84000</v>
      </c>
    </row>
    <row r="21" spans="2:4" ht="14.25" customHeight="1">
      <c r="B21" s="28">
        <v>1000</v>
      </c>
      <c r="C21" s="28">
        <v>120</v>
      </c>
      <c r="D21" s="28">
        <v>120000</v>
      </c>
    </row>
    <row r="22" spans="2:4" ht="14.25" customHeight="1">
      <c r="B22" s="28">
        <v>600</v>
      </c>
      <c r="C22" s="28">
        <v>120</v>
      </c>
      <c r="D22" s="28">
        <v>72000</v>
      </c>
    </row>
    <row r="23" spans="2:4" ht="14.25" customHeight="1">
      <c r="B23" s="28">
        <v>800</v>
      </c>
      <c r="C23" s="28">
        <v>120</v>
      </c>
      <c r="D23" s="28">
        <v>96000</v>
      </c>
    </row>
    <row r="24" spans="2:4" ht="14.25" customHeight="1">
      <c r="B24" s="28">
        <v>500</v>
      </c>
      <c r="C24" s="28">
        <v>120</v>
      </c>
      <c r="D24" s="28">
        <v>60000</v>
      </c>
    </row>
    <row r="25" spans="2:4" ht="14.25" customHeight="1">
      <c r="B25" s="28">
        <v>600</v>
      </c>
      <c r="C25" s="28">
        <v>120</v>
      </c>
      <c r="D25" s="28">
        <v>72000</v>
      </c>
    </row>
    <row r="26" spans="2:4" ht="14.25" customHeight="1">
      <c r="B26" s="28">
        <v>2000</v>
      </c>
      <c r="C26" s="28">
        <v>142</v>
      </c>
      <c r="D26" s="28">
        <v>284000</v>
      </c>
    </row>
    <row r="27" spans="2:4" ht="14.25" customHeight="1">
      <c r="B27" s="28">
        <v>1200</v>
      </c>
      <c r="C27" s="28">
        <v>130</v>
      </c>
      <c r="D27" s="28">
        <v>156000</v>
      </c>
    </row>
    <row r="28" spans="2:4" ht="14.25" customHeight="1">
      <c r="B28" s="28">
        <v>800</v>
      </c>
      <c r="C28" s="28">
        <v>130</v>
      </c>
      <c r="D28" s="28">
        <v>104000</v>
      </c>
    </row>
    <row r="29" spans="2:4" ht="14.25" customHeight="1">
      <c r="B29" s="28">
        <v>900</v>
      </c>
      <c r="C29" s="28">
        <v>127.5</v>
      </c>
      <c r="D29" s="28">
        <v>114750</v>
      </c>
    </row>
    <row r="30" spans="2:4" ht="14.25" customHeight="1">
      <c r="B30" s="28">
        <v>300</v>
      </c>
      <c r="C30" s="28">
        <v>117.5</v>
      </c>
      <c r="D30" s="28">
        <v>35250</v>
      </c>
    </row>
    <row r="31" spans="2:4" ht="14.25" customHeight="1">
      <c r="B31" s="28">
        <v>700</v>
      </c>
      <c r="C31" s="28">
        <v>135</v>
      </c>
      <c r="D31" s="28">
        <v>94500</v>
      </c>
    </row>
    <row r="32" spans="2:4" ht="14.25" customHeight="1">
      <c r="B32" s="28">
        <v>400</v>
      </c>
      <c r="C32" s="28">
        <v>130</v>
      </c>
      <c r="D32" s="28">
        <v>52000</v>
      </c>
    </row>
    <row r="33" spans="2:5" ht="14.25" customHeight="1">
      <c r="B33" s="28">
        <v>250</v>
      </c>
      <c r="C33" s="28">
        <v>125</v>
      </c>
      <c r="D33" s="28">
        <v>31250</v>
      </c>
    </row>
    <row r="34" spans="2:5" ht="14.25" customHeight="1">
      <c r="B34" s="28">
        <v>2000</v>
      </c>
      <c r="C34" s="28">
        <v>142.5</v>
      </c>
      <c r="D34" s="28">
        <v>285000</v>
      </c>
    </row>
    <row r="35" spans="2:5" ht="14.25" customHeight="1">
      <c r="B35" s="28">
        <v>400</v>
      </c>
      <c r="C35" s="28">
        <v>130</v>
      </c>
      <c r="D35" s="28">
        <v>52000</v>
      </c>
    </row>
    <row r="36" spans="2:5" ht="14.25" customHeight="1">
      <c r="B36" s="28">
        <f>SUM(B1:B35)/1000</f>
        <v>52.83</v>
      </c>
      <c r="C36" s="30">
        <f>AVERAGE(C1:C35)</f>
        <v>121.48571428571428</v>
      </c>
      <c r="D36" s="30">
        <f>SUM(D1:D35)</f>
        <v>6443250</v>
      </c>
      <c r="E36" s="30"/>
    </row>
    <row r="37" spans="2:5" ht="14.25" customHeight="1"/>
    <row r="38" spans="2:5" ht="14.25" customHeight="1"/>
    <row r="39" spans="2:5" ht="14.25" customHeight="1"/>
    <row r="40" spans="2:5" ht="14.25" customHeight="1"/>
    <row r="41" spans="2:5" ht="14.25" customHeight="1"/>
    <row r="42" spans="2:5" ht="14.25" customHeight="1"/>
    <row r="43" spans="2:5" ht="14.25" customHeight="1"/>
    <row r="44" spans="2:5" ht="14.25" customHeight="1"/>
    <row r="45" spans="2:5" ht="14.25" customHeight="1"/>
    <row r="46" spans="2:5" ht="14.25" customHeight="1"/>
    <row r="47" spans="2:5" ht="14.25" customHeight="1"/>
    <row r="48" spans="2:5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000"/>
  <sheetViews>
    <sheetView workbookViewId="0"/>
  </sheetViews>
  <sheetFormatPr defaultColWidth="12.6640625" defaultRowHeight="15" customHeight="1"/>
  <cols>
    <col min="1" max="1" width="17.21875" customWidth="1"/>
    <col min="2" max="3" width="14.109375" customWidth="1"/>
    <col min="4" max="4" width="20.77734375" customWidth="1"/>
    <col min="5" max="5" width="21.33203125" customWidth="1"/>
    <col min="6" max="6" width="18.33203125" customWidth="1"/>
    <col min="7" max="12" width="8.6640625" customWidth="1"/>
    <col min="13" max="13" width="9.44140625" customWidth="1"/>
    <col min="14" max="14" width="14.21875" customWidth="1"/>
    <col min="15" max="26" width="8.6640625" customWidth="1"/>
  </cols>
  <sheetData>
    <row r="1" spans="1:14" ht="14.25" customHeight="1"/>
    <row r="2" spans="1:14" ht="14.25" customHeight="1">
      <c r="L2" s="28" t="s">
        <v>438</v>
      </c>
      <c r="M2" s="28" t="s">
        <v>117</v>
      </c>
      <c r="N2" s="28" t="s">
        <v>439</v>
      </c>
    </row>
    <row r="3" spans="1:14" ht="14.25" customHeight="1">
      <c r="B3" s="28" t="s">
        <v>128</v>
      </c>
      <c r="C3" s="28" t="s">
        <v>440</v>
      </c>
      <c r="D3" s="28" t="s">
        <v>441</v>
      </c>
      <c r="E3" s="28" t="s">
        <v>442</v>
      </c>
      <c r="F3" s="28" t="s">
        <v>443</v>
      </c>
      <c r="J3" s="28" t="s">
        <v>444</v>
      </c>
      <c r="L3" s="28">
        <v>57000</v>
      </c>
      <c r="M3" s="8">
        <v>6.25</v>
      </c>
      <c r="N3" s="8">
        <v>356250</v>
      </c>
    </row>
    <row r="4" spans="1:14" ht="14.25" customHeight="1">
      <c r="A4" s="28" t="s">
        <v>445</v>
      </c>
      <c r="B4" s="35">
        <v>4.8600000000000003</v>
      </c>
      <c r="C4" s="30">
        <v>6.833333333333333</v>
      </c>
      <c r="E4" s="30">
        <v>60</v>
      </c>
      <c r="F4" s="30">
        <v>165.53333333333333</v>
      </c>
      <c r="L4" s="28">
        <v>9000</v>
      </c>
      <c r="M4" s="8">
        <v>4.583333333333333</v>
      </c>
      <c r="N4" s="8">
        <v>41250</v>
      </c>
    </row>
    <row r="5" spans="1:14" ht="14.25" customHeight="1">
      <c r="A5" s="28" t="s">
        <v>437</v>
      </c>
      <c r="B5" s="36">
        <f>L9</f>
        <v>156000</v>
      </c>
      <c r="C5" s="28">
        <v>57000</v>
      </c>
      <c r="F5" s="28">
        <v>2400</v>
      </c>
      <c r="L5" s="28">
        <v>30000</v>
      </c>
      <c r="M5" s="8">
        <v>4.583333333333333</v>
      </c>
      <c r="N5" s="8">
        <v>137500</v>
      </c>
    </row>
    <row r="6" spans="1:14" ht="14.25" customHeight="1">
      <c r="A6" s="28" t="s">
        <v>118</v>
      </c>
      <c r="B6" s="35">
        <f>N9</f>
        <v>810000</v>
      </c>
      <c r="C6" s="30">
        <v>389500</v>
      </c>
      <c r="F6" s="30">
        <v>341488</v>
      </c>
      <c r="L6" s="28">
        <v>24000</v>
      </c>
      <c r="M6" s="8">
        <v>4.583333333333333</v>
      </c>
      <c r="N6" s="8">
        <v>110000</v>
      </c>
    </row>
    <row r="7" spans="1:14" ht="14.25" customHeight="1">
      <c r="L7" s="28">
        <v>27000</v>
      </c>
      <c r="M7" s="8">
        <v>4.583333333333333</v>
      </c>
      <c r="N7" s="8">
        <v>123749.99999999999</v>
      </c>
    </row>
    <row r="8" spans="1:14" ht="14.25" customHeight="1">
      <c r="L8" s="28">
        <v>9000</v>
      </c>
      <c r="M8" s="8">
        <v>4.583333333333333</v>
      </c>
      <c r="N8" s="8">
        <v>41250</v>
      </c>
    </row>
    <row r="9" spans="1:14" ht="14.25" customHeight="1">
      <c r="L9" s="32">
        <f>SUM(L3:L8)</f>
        <v>156000</v>
      </c>
      <c r="M9" s="33">
        <f>AVERAGE(M3:M8)</f>
        <v>4.8611111111111098</v>
      </c>
      <c r="N9" s="33">
        <f>SUM(N3:N8)</f>
        <v>810000</v>
      </c>
    </row>
    <row r="10" spans="1:14" ht="14.25" customHeight="1"/>
    <row r="11" spans="1:14" ht="14.25" customHeight="1"/>
    <row r="12" spans="1:14" ht="14.25" customHeight="1"/>
    <row r="13" spans="1:14" ht="14.25" customHeight="1"/>
    <row r="14" spans="1:14" ht="14.25" customHeight="1">
      <c r="J14" s="28" t="s">
        <v>446</v>
      </c>
      <c r="L14" s="28" t="s">
        <v>438</v>
      </c>
      <c r="M14" s="28" t="s">
        <v>117</v>
      </c>
      <c r="N14" s="28" t="s">
        <v>439</v>
      </c>
    </row>
    <row r="15" spans="1:14" ht="14.25" customHeight="1">
      <c r="M15" s="30">
        <v>60</v>
      </c>
      <c r="N15" s="30">
        <v>1800</v>
      </c>
    </row>
    <row r="16" spans="1:14" ht="14.25" customHeight="1"/>
    <row r="17" spans="10:14" ht="14.25" customHeight="1"/>
    <row r="18" spans="10:14" ht="14.25" customHeight="1"/>
    <row r="19" spans="10:14" ht="14.25" customHeight="1">
      <c r="J19" s="28" t="s">
        <v>447</v>
      </c>
      <c r="L19" s="28" t="s">
        <v>438</v>
      </c>
      <c r="M19" s="28" t="s">
        <v>117</v>
      </c>
      <c r="N19" s="28" t="s">
        <v>439</v>
      </c>
    </row>
    <row r="20" spans="10:14" ht="14.25" customHeight="1">
      <c r="L20" s="28">
        <v>2400</v>
      </c>
      <c r="M20" s="28">
        <v>165.53333333333333</v>
      </c>
      <c r="N20" s="30">
        <v>341488</v>
      </c>
    </row>
    <row r="21" spans="10:14" ht="14.25" customHeight="1"/>
    <row r="22" spans="10:14" ht="14.25" customHeight="1"/>
    <row r="23" spans="10:14" ht="14.25" customHeight="1"/>
    <row r="24" spans="10:14" ht="14.25" customHeight="1"/>
    <row r="25" spans="10:14" ht="14.25" customHeight="1"/>
    <row r="26" spans="10:14" ht="14.25" customHeight="1"/>
    <row r="27" spans="10:14" ht="14.25" customHeight="1"/>
    <row r="28" spans="10:14" ht="14.25" customHeight="1"/>
    <row r="29" spans="10:14" ht="14.25" customHeight="1"/>
    <row r="30" spans="10:14" ht="14.25" customHeight="1"/>
    <row r="31" spans="10:14" ht="14.25" customHeight="1"/>
    <row r="32" spans="10:14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INTERMEDIÁRIOS</vt:lpstr>
      <vt:lpstr>TABELA 2.3</vt:lpstr>
      <vt:lpstr>TABELA 4</vt:lpstr>
      <vt:lpstr>Mulata - Castanha e Fármacos</vt:lpstr>
      <vt:lpstr>Castnha</vt:lpstr>
      <vt:lpstr>Cumaru</vt:lpstr>
      <vt:lpstr>Castanha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Lissandra Portela</cp:lastModifiedBy>
  <dcterms:created xsi:type="dcterms:W3CDTF">2025-07-29T18:41:28Z</dcterms:created>
  <dcterms:modified xsi:type="dcterms:W3CDTF">2025-12-16T01:16:48Z</dcterms:modified>
</cp:coreProperties>
</file>