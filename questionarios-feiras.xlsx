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4D452811-08B8-4002-8990-3EFEEB83D2EC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29" i="6" l="1"/>
  <c r="F28" i="6"/>
  <c r="D28" i="6"/>
  <c r="G48" i="6"/>
  <c r="H55" i="6"/>
  <c r="H53" i="6"/>
  <c r="H52" i="6"/>
  <c r="I44" i="6" s="1"/>
  <c r="G45" i="6"/>
  <c r="H43" i="6"/>
  <c r="H42" i="6"/>
  <c r="I34" i="6"/>
  <c r="H35" i="6"/>
  <c r="H32" i="6"/>
  <c r="H24" i="6"/>
  <c r="H23" i="6"/>
  <c r="H22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28" i="6" l="1"/>
  <c r="I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<sst xmlns="http://schemas.openxmlformats.org/spreadsheetml/2006/main" count="3828" uniqueCount="455">
  <si>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</si>
  <si>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</si>
  <si>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</si>
  <si>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</si>
  <si>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</si>
  <si>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</si>
  <si>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</si>
  <si>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</si>
  <si>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</si>
  <si>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</si>
  <si>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</si>
  <si>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</si>
  <si>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</si>
  <si>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</si>
  <si>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</si>
  <si>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</si>
  <si>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</si>
  <si>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</si>
  <si>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</si>
  <si>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</si>
  <si>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</si>
  <si>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</si>
  <si>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</si>
  <si>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</si>
  <si>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</si>
  <si>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</si>
  <si>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</si>
  <si>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</si>
  <si>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</si>
  <si>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</si>
  <si>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</si>
  <si>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</si>
  <si>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</si>
  <si>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</si>
  <si>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</si>
  <si>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</si>
  <si>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</si>
  <si>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</si>
  <si>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</si>
  <si>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</si>
  <si>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</si>
  <si>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</si>
  <si>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</si>
  <si>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</si>
  <si>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</si>
  <si>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</si>
  <si>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</si>
  <si>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</si>
  <si>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</si>
  <si>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</si>
  <si>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</si>
  <si>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</si>
  <si>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</si>
  <si>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</si>
  <si>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</si>
  <si>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</si>
  <si>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</si>
  <si>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</si>
  <si>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</si>
  <si>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</si>
  <si>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</si>
  <si>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</si>
  <si>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</si>
  <si>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</si>
  <si>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</si>
  <si>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</si>
  <si>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</si>
  <si>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</si>
  <si>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</si>
  <si>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</si>
  <si>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</si>
  <si>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</si>
  <si>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</si>
  <si>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</si>
  <si>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</si>
  <si>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</si>
  <si>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</si>
  <si>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</si>
  <si>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</si>
  <si>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</si>
  <si>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</si>
  <si>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</si>
  <si>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</si>
  <si>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</si>
  <si>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</si>
  <si>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</si>
  <si>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</si>
  <si>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</si>
  <si>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</si>
  <si>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</si>
  <si>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</si>
  <si>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</si>
  <si>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</si>
  <si>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</si>
  <si>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</si>
  <si>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</si>
  <si>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</si>
  <si>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</si>
  <si>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</si>
  <si>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</si>
  <si>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</si>
  <si>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</si>
  <si>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</si>
  <si>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</si>
  <si>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</si>
  <si>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</si>
  <si>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</si>
  <si>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</si>
  <si>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</si>
  <si>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</si>
  <si>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</si>
  <si>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</si>
  <si>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</si>
  <si>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</si>
  <si>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</si>
  <si>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</si>
  <si>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</si>
  <si>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</si>
  <si>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</si>
  <si>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</si>
  <si>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</si>
  <si>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</si>
  <si>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</si>
  <si>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</si>
  <si>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</si>
  <si>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</si>
  <si>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</si>
  <si>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</si>
  <si>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</si>
  <si>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</si>
  <si>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</si>
  <si>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</si>
  <si>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</si>
  <si>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</si>
  <si>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</si>
  <si>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</si>
  <si>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</si>
  <si>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</si>
  <si>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</si>
  <si>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</si>
  <si>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</si>
  <si>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</si>
  <si>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</si>
  <si>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</si>
  <si>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</si>
  <si>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</si>
  <si>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</si>
  <si>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</si>
  <si>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</si>
  <si>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</si>
  <si>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</si>
  <si>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</si>
  <si>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</si>
  <si>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</si>
  <si>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</si>
  <si>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</si>
  <si>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</si>
  <si>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</si>
  <si>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</si>
  <si>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</si>
  <si>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</si>
  <si>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</si>
  <si>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</si>
  <si>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</si>
  <si>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</si>
  <si>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</si>
  <si>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</si>
  <si>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</si>
  <si>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</si>
  <si>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</si>
  <si>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</si>
  <si>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</si>
  <si>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</si>
  <si>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</si>
  <si>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</si>
  <si>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</si>
  <si>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</si>
  <si>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</si>
  <si>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</si>
  <si>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</si>
  <si>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</si>
  <si>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</si>
  <si>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</si>
  <si>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</si>
  <si>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</si>
  <si>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</si>
  <si>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</si>
  <si>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</si>
  <si>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</si>
  <si>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</si>
  <si>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</si>
  <si>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</si>
  <si>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</si>
  <si>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</si>
  <si>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</si>
  <si>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</si>
  <si>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</si>
  <si>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</si>
  <si>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</si>
  <si>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</si>
  <si>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</si>
  <si>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</si>
  <si>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</si>
  <si>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</si>
  <si>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</si>
  <si>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</si>
  <si>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</si>
  <si>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</si>
  <si>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</si>
  <si>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</si>
  <si>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</si>
  <si>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</si>
  <si>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</si>
  <si>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</si>
  <si>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</si>
  <si>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</si>
  <si>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</si>
  <si>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</si>
  <si>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</si>
  <si>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</si>
  <si>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</si>
  <si>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</si>
  <si>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</si>
  <si>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</si>
  <si>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</si>
  <si>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</si>
  <si>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</si>
  <si>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</si>
  <si>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</si>
  <si>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</si>
  <si>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</si>
  <si>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</si>
  <si>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</si>
  <si>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</si>
  <si>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</si>
  <si>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</si>
  <si>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</si>
  <si>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</si>
  <si>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</si>
  <si>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</si>
  <si>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</si>
  <si>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</si>
  <si>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</si>
  <si>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</si>
  <si>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</si>
  <si>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</si>
  <si>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</si>
  <si>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</si>
  <si>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</si>
  <si>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</si>
  <si>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</si>
  <si>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</si>
  <si>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</si>
  <si>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</si>
  <si>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</si>
  <si>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</si>
  <si>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</si>
  <si>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</si>
  <si>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</si>
  <si>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</si>
  <si>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</si>
  <si>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</si>
  <si>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</si>
  <si>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</si>
  <si>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</si>
  <si>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</si>
  <si>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</si>
  <si>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</si>
  <si>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</si>
  <si>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</si>
  <si>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</si>
  <si>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</si>
  <si>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</si>
  <si>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</si>
  <si>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</si>
  <si>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</si>
  <si>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</si>
  <si>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</si>
  <si>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</si>
  <si>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</si>
  <si>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</si>
  <si>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</si>
  <si>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</si>
  <si>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</si>
  <si>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</si>
  <si>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</si>
  <si>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</si>
  <si>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</si>
  <si>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</si>
  <si>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</si>
  <si>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</si>
  <si>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</si>
  <si>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</si>
  <si>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</si>
  <si>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</si>
  <si>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</si>
  <si>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</si>
  <si>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</si>
  <si>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</si>
  <si>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</si>
  <si>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</si>
  <si>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</si>
  <si>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</si>
  <si>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</si>
  <si>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</si>
  <si>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</si>
  <si>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</si>
  <si>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</si>
  <si>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</si>
  <si>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</si>
  <si>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</si>
  <si>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</si>
  <si>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</si>
  <si>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</si>
  <si>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</si>
  <si>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</si>
  <si>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</si>
  <si>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</si>
  <si>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</si>
  <si>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</si>
  <si>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</si>
  <si>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</si>
  <si>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</si>
  <si>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</si>
  <si>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</si>
  <si>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</si>
  <si>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</si>
  <si>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</si>
  <si>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</si>
  <si>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</si>
  <si>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</si>
  <si>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</si>
  <si>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</si>
  <si>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</si>
  <si>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</si>
  <si>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</si>
  <si>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</si>
  <si>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</si>
  <si>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</si>
  <si>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</si>
  <si>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</si>
  <si>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</si>
  <si>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</si>
  <si>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</si>
  <si>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</si>
  <si>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</si>
  <si>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</si>
  <si>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</si>
  <si>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</si>
  <si>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</si>
  <si>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</si>
  <si>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</si>
  <si>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</si>
  <si>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</si>
  <si>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</si>
  <si>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</si>
  <si>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</si>
  <si>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</si>
  <si>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</si>
  <si>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</si>
  <si>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</si>
  <si>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</si>
  <si>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</si>
  <si>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</si>
  <si>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</si>
  <si>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</si>
  <si>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</si>
  <si>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</si>
  <si>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</si>
  <si>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</si>
  <si>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</si>
  <si>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</si>
  <si>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</si>
  <si>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</si>
  <si>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</si>
  <si>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</si>
  <si>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</si>
  <si>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</si>
  <si>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</si>
  <si>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</si>
  <si>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</si>
  <si>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</si>
  <si>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</si>
  <si>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</si>
  <si>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</si>
  <si>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</si>
  <si>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</si>
  <si>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</si>
  <si>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</si>
  <si>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</si>
  <si>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</si>
  <si>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</si>
  <si>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</si>
  <si>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</si>
  <si>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</si>
  <si>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</si>
  <si>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</si>
  <si>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</si>
  <si>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</si>
  <si>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</si>
  <si>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</si>
  <si>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</si>
  <si>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</si>
  <si>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</si>
  <si>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</si>
  <si>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</si>
  <si>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</si>
  <si>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</si>
  <si>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</si>
  <si>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</si>
  <si>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</si>
  <si>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</si>
  <si>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</si>
  <si>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</si>
  <si>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</si>
  <si>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</si>
  <si>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</si>
  <si>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</si>
  <si>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</si>
  <si>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</si>
  <si>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</si>
  <si>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</si>
  <si>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</si>
  <si>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</si>
  <si>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</si>
  <si>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</si>
  <si>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</si>
  <si>
    <t>Irmão Junior</t>
  </si>
  <si>
    <t>Feira de Monte Alegre</t>
  </si>
  <si>
    <t>Monte Alegre</t>
  </si>
  <si>
    <t>7 anos</t>
  </si>
  <si>
    <t>OS DOIS</t>
  </si>
  <si>
    <t>FAMÍLIA</t>
  </si>
  <si>
    <t>Planalto Monte Alegre</t>
  </si>
  <si>
    <t>FAMILIAR (FILHO)</t>
  </si>
  <si>
    <t>Feira Monte Alegre</t>
  </si>
  <si>
    <t>Benedito Ferreira</t>
  </si>
  <si>
    <t>Feira de Óbidos</t>
  </si>
  <si>
    <t>Óbidos</t>
  </si>
  <si>
    <t>Traira</t>
  </si>
  <si>
    <t>40 anos</t>
  </si>
  <si>
    <t>Sara Tudo</t>
  </si>
  <si>
    <t>Unha de Gato</t>
  </si>
  <si>
    <t>Cajuaçu</t>
  </si>
  <si>
    <t>Uxi Amarelo</t>
  </si>
  <si>
    <t>Traira (Óbidos)</t>
  </si>
  <si>
    <t>Traíra (Óbidos)</t>
  </si>
  <si>
    <t>MEDIC INAL</t>
  </si>
  <si>
    <t>ATÉ 100 UND</t>
  </si>
  <si>
    <t>Feira Municipal de Óbidos</t>
  </si>
  <si>
    <t>SARA TUDO</t>
  </si>
  <si>
    <t>UNHA DE GATO</t>
  </si>
  <si>
    <t>CAJUAÇU</t>
  </si>
  <si>
    <t>UXI AMARELO</t>
  </si>
  <si>
    <t>GERGILIM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</si>
</sst>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6" fillId="0" borderId="7" xfId="0" applyFont="1" applyBorder="1"/>
    <xf numFmtId="0" fontId="3" fillId="0" borderId="5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3" fillId="0" borderId="8" xfId="0" applyFont="1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workbookViewId="0">
      <pane xSplit="6" ySplit="2" topLeftCell="O12" activePane="bottomRight" state="frozen"/>
      <selection pane="topRight" activeCell="G1" sqref="G1"/>
      <selection pane="bottomLeft" activeCell="A3" sqref="A3"/>
      <selection pane="bottomRight" activeCell="T23" sqref="T23"/>
    </sheetView>
  </sheetViews>
  <sheetFormatPr defaultColWidth="12.6640625" defaultRowHeight="15" customHeight="1"/>
  <cols>
    <col min="1" max="1" width="13.33203125" customWidth="1"/>
    <col min="2" max="2" width="11.44140625" customWidth="1"/>
    <col min="3" max="3" width="14.88671875" customWidth="1"/>
    <col min="4" max="4" width="23.6640625" customWidth="1"/>
    <col min="5" max="5" width="17.33203125" customWidth="1"/>
    <col min="6" max="6" width="32.88671875" customWidth="1"/>
    <col min="7" max="7" width="12.88671875" customWidth="1"/>
    <col min="8" max="8" width="11.8867187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4" width="12.44140625" customWidth="1"/>
    <col min="15" max="15" width="14" customWidth="1"/>
    <col min="16" max="16" width="11.6640625" customWidth="1"/>
    <col min="17" max="17" width="16.6640625" customWidth="1"/>
    <col min="18" max="18" width="13.33203125" customWidth="1"/>
    <col min="19" max="19" width="25" customWidth="1"/>
    <col min="20" max="26" width="8.6640625" customWidth="1"/>
  </cols>
  <sheetData>
    <row r="1" spans="1:19" ht="28.5" customHeight="1">
      <c r="A1" s="85" t="s">
        <v>0</v>
      </c>
      <c r="B1" s="86"/>
      <c r="C1" s="86"/>
      <c r="D1" s="86"/>
      <c r="E1" s="86"/>
      <c r="F1" s="87"/>
      <c r="G1" s="88" t="s">
        <v>1</v>
      </c>
      <c r="H1" s="86"/>
      <c r="I1" s="86"/>
      <c r="J1" s="86"/>
      <c r="K1" s="87"/>
      <c r="L1" s="1" t="s">
        <v>2</v>
      </c>
      <c r="M1" s="88" t="s">
        <v>3</v>
      </c>
      <c r="N1" s="86"/>
      <c r="O1" s="86"/>
      <c r="P1" s="86"/>
      <c r="Q1" s="86"/>
      <c r="R1" s="86"/>
      <c r="S1" s="87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14.25" customHeight="1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385</v>
      </c>
      <c r="E19" s="50" t="s">
        <v>25</v>
      </c>
      <c r="F19" s="50" t="s">
        <v>386</v>
      </c>
      <c r="G19" s="50" t="s">
        <v>387</v>
      </c>
      <c r="H19" s="50" t="s">
        <v>25</v>
      </c>
      <c r="I19" s="50" t="s">
        <v>388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389</v>
      </c>
      <c r="O19" s="50" t="s">
        <v>390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5">
        <v>45922</v>
      </c>
      <c r="C20" s="52" t="s">
        <v>402</v>
      </c>
      <c r="D20" s="52" t="s">
        <v>403</v>
      </c>
      <c r="E20" s="52" t="s">
        <v>25</v>
      </c>
      <c r="F20" s="52" t="s">
        <v>386</v>
      </c>
      <c r="G20" s="52" t="s">
        <v>387</v>
      </c>
      <c r="H20" s="52" t="s">
        <v>404</v>
      </c>
      <c r="I20" s="52" t="s">
        <v>405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406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413</v>
      </c>
      <c r="E21" s="50" t="s">
        <v>25</v>
      </c>
      <c r="F21" s="50" t="s">
        <v>386</v>
      </c>
      <c r="G21" s="50" t="s">
        <v>387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>
        <v>328</v>
      </c>
      <c r="B22" s="15" t="s">
        <v>25</v>
      </c>
      <c r="C22" s="15" t="s">
        <v>25</v>
      </c>
      <c r="D22" s="15" t="s">
        <v>427</v>
      </c>
      <c r="E22" s="15" t="s">
        <v>25</v>
      </c>
      <c r="F22" s="15" t="s">
        <v>428</v>
      </c>
      <c r="G22" s="15" t="s">
        <v>429</v>
      </c>
      <c r="H22" s="15" t="s">
        <v>25</v>
      </c>
      <c r="I22" s="15" t="s">
        <v>430</v>
      </c>
      <c r="J22" s="15">
        <v>7</v>
      </c>
      <c r="K22" s="15" t="s">
        <v>30</v>
      </c>
      <c r="L22" s="15" t="s">
        <v>31</v>
      </c>
      <c r="M22" s="15">
        <v>8</v>
      </c>
      <c r="N22" s="15" t="s">
        <v>389</v>
      </c>
      <c r="O22" s="15" t="s">
        <v>431</v>
      </c>
      <c r="P22" s="17" t="s">
        <v>25</v>
      </c>
      <c r="Q22" s="17" t="s">
        <v>25</v>
      </c>
      <c r="R22" s="15" t="s">
        <v>25</v>
      </c>
      <c r="S22" s="16" t="s">
        <v>31</v>
      </c>
    </row>
    <row r="23" spans="1:19" ht="14.25" customHeight="1">
      <c r="A23" s="15">
        <v>329</v>
      </c>
      <c r="B23" s="15" t="s">
        <v>25</v>
      </c>
      <c r="C23" s="15" t="s">
        <v>25</v>
      </c>
      <c r="D23" s="15" t="s">
        <v>436</v>
      </c>
      <c r="E23" s="15" t="s">
        <v>25</v>
      </c>
      <c r="F23" s="15" t="s">
        <v>437</v>
      </c>
      <c r="G23" s="15" t="s">
        <v>438</v>
      </c>
      <c r="H23" s="15" t="s">
        <v>439</v>
      </c>
      <c r="I23" s="15" t="s">
        <v>440</v>
      </c>
      <c r="J23" s="15">
        <v>6</v>
      </c>
      <c r="K23" s="15" t="s">
        <v>30</v>
      </c>
      <c r="L23" s="15" t="s">
        <v>31</v>
      </c>
      <c r="M23" s="15">
        <v>1</v>
      </c>
      <c r="N23" s="15" t="s">
        <v>406</v>
      </c>
      <c r="O23" s="15" t="s">
        <v>431</v>
      </c>
      <c r="P23" s="17" t="s">
        <v>25</v>
      </c>
      <c r="Q23" s="17" t="s">
        <v>346</v>
      </c>
      <c r="R23" s="15" t="s">
        <v>25</v>
      </c>
      <c r="S23" s="16" t="s">
        <v>25</v>
      </c>
    </row>
    <row r="24" spans="1:19" ht="14.2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7"/>
      <c r="R24" s="15"/>
      <c r="S24" s="16"/>
    </row>
    <row r="25" spans="1:19" ht="14.2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72" activePane="bottomRight" state="frozen"/>
      <selection pane="topRight" activeCell="B1" sqref="B1"/>
      <selection pane="bottomLeft" activeCell="A3" sqref="A3"/>
      <selection pane="bottomRight" activeCell="A95" sqref="A95"/>
    </sheetView>
  </sheetViews>
  <sheetFormatPr defaultColWidth="12.6640625" defaultRowHeight="15" customHeight="1"/>
  <cols>
    <col min="1" max="1" width="11.88671875" customWidth="1"/>
    <col min="2" max="2" width="27.88671875" customWidth="1"/>
    <col min="3" max="3" width="19.44140625" customWidth="1"/>
    <col min="4" max="4" width="17.109375" customWidth="1"/>
    <col min="5" max="5" width="17" customWidth="1"/>
    <col min="6" max="6" width="21" customWidth="1"/>
    <col min="7" max="7" width="26" customWidth="1"/>
    <col min="8" max="8" width="34.3320312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>
      <c r="A1" s="89" t="s">
        <v>104</v>
      </c>
      <c r="B1" s="86"/>
      <c r="C1" s="86"/>
      <c r="D1" s="86"/>
      <c r="E1" s="86"/>
      <c r="F1" s="86"/>
      <c r="G1" s="86"/>
      <c r="H1" s="87"/>
      <c r="K1" s="18"/>
    </row>
    <row r="2" spans="1:26" ht="43.2" customHeight="1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ht="14.25" customHeight="1">
      <c r="A57" s="12">
        <v>322</v>
      </c>
      <c r="B57" s="12" t="s">
        <v>156</v>
      </c>
      <c r="C57" s="12" t="s">
        <v>123</v>
      </c>
      <c r="D57" s="12" t="s">
        <v>115</v>
      </c>
      <c r="E57" s="12" t="s">
        <v>147</v>
      </c>
      <c r="F57" s="12" t="s">
        <v>147</v>
      </c>
      <c r="G57" s="12" t="s">
        <v>184</v>
      </c>
      <c r="H57" s="12" t="s">
        <v>25</v>
      </c>
    </row>
    <row r="58" spans="1:8" ht="14.25" customHeight="1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391</v>
      </c>
      <c r="H69" s="55" t="s">
        <v>392</v>
      </c>
    </row>
    <row r="70" spans="1:8" ht="14.25" customHeight="1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393</v>
      </c>
    </row>
    <row r="71" spans="1:8" ht="14.25" customHeight="1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394</v>
      </c>
      <c r="H71" s="55" t="s">
        <v>25</v>
      </c>
    </row>
    <row r="72" spans="1:8" ht="14.25" customHeight="1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394</v>
      </c>
      <c r="H72" s="55" t="s">
        <v>25</v>
      </c>
    </row>
    <row r="73" spans="1:8" ht="14.25" customHeight="1">
      <c r="A73" s="55">
        <v>325</v>
      </c>
      <c r="B73" s="55" t="s">
        <v>395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396</v>
      </c>
      <c r="H73" s="55" t="s">
        <v>25</v>
      </c>
    </row>
    <row r="74" spans="1:8" ht="14.25" customHeight="1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407</v>
      </c>
      <c r="H74" s="57" t="s">
        <v>408</v>
      </c>
    </row>
    <row r="75" spans="1:8" ht="14.25" customHeight="1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409</v>
      </c>
      <c r="H75" s="57" t="s">
        <v>408</v>
      </c>
    </row>
    <row r="76" spans="1:8" ht="14.25" customHeight="1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410</v>
      </c>
      <c r="H76" s="57" t="s">
        <v>25</v>
      </c>
    </row>
    <row r="77" spans="1:8" ht="14.25" customHeight="1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414</v>
      </c>
    </row>
    <row r="78" spans="1:8" ht="14.25" customHeight="1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415</v>
      </c>
    </row>
    <row r="80" spans="1:8" ht="14.25" customHeight="1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416</v>
      </c>
    </row>
    <row r="81" spans="1:8" ht="14.25" customHeight="1">
      <c r="A81" s="55">
        <v>327</v>
      </c>
      <c r="B81" s="55" t="s">
        <v>417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418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419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420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>
      <c r="A85" s="55">
        <v>328</v>
      </c>
      <c r="B85" s="55" t="s">
        <v>136</v>
      </c>
      <c r="C85" s="55" t="s">
        <v>137</v>
      </c>
      <c r="D85" s="55" t="s">
        <v>115</v>
      </c>
      <c r="E85" s="55" t="s">
        <v>179</v>
      </c>
      <c r="F85" s="55" t="s">
        <v>432</v>
      </c>
      <c r="G85" s="55" t="s">
        <v>25</v>
      </c>
      <c r="H85" s="55" t="s">
        <v>433</v>
      </c>
    </row>
    <row r="86" spans="1:8" ht="14.25" customHeight="1">
      <c r="A86" s="22">
        <v>329</v>
      </c>
      <c r="B86" s="22" t="s">
        <v>441</v>
      </c>
      <c r="C86" s="22" t="s">
        <v>151</v>
      </c>
      <c r="D86" s="22" t="s">
        <v>115</v>
      </c>
      <c r="E86" s="22" t="s">
        <v>179</v>
      </c>
      <c r="F86" s="22" t="s">
        <v>432</v>
      </c>
      <c r="G86" s="22" t="s">
        <v>25</v>
      </c>
      <c r="H86" s="22" t="s">
        <v>445</v>
      </c>
    </row>
    <row r="87" spans="1:8" ht="14.25" customHeight="1">
      <c r="A87" s="22">
        <v>329</v>
      </c>
      <c r="B87" s="22" t="s">
        <v>442</v>
      </c>
      <c r="C87" s="22" t="s">
        <v>151</v>
      </c>
      <c r="D87" s="22" t="s">
        <v>115</v>
      </c>
      <c r="E87" s="22" t="s">
        <v>179</v>
      </c>
      <c r="F87" s="22" t="s">
        <v>432</v>
      </c>
      <c r="G87" s="22" t="s">
        <v>25</v>
      </c>
      <c r="H87" s="22" t="s">
        <v>445</v>
      </c>
    </row>
    <row r="88" spans="1:8" ht="14.25" customHeight="1">
      <c r="A88" s="22">
        <v>329</v>
      </c>
      <c r="B88" s="22" t="s">
        <v>443</v>
      </c>
      <c r="C88" s="22" t="s">
        <v>151</v>
      </c>
      <c r="D88" s="22" t="s">
        <v>115</v>
      </c>
      <c r="E88" s="22" t="s">
        <v>179</v>
      </c>
      <c r="F88" s="22" t="s">
        <v>432</v>
      </c>
      <c r="G88" s="22" t="s">
        <v>25</v>
      </c>
      <c r="H88" s="22" t="s">
        <v>445</v>
      </c>
    </row>
    <row r="89" spans="1:8" ht="14.25" customHeight="1">
      <c r="A89" s="22">
        <v>329</v>
      </c>
      <c r="B89" s="22" t="s">
        <v>444</v>
      </c>
      <c r="C89" s="22" t="s">
        <v>151</v>
      </c>
      <c r="D89" s="22" t="s">
        <v>115</v>
      </c>
      <c r="E89" s="22" t="s">
        <v>179</v>
      </c>
      <c r="F89" s="22" t="s">
        <v>432</v>
      </c>
      <c r="G89" s="22" t="s">
        <v>25</v>
      </c>
      <c r="H89" s="22" t="s">
        <v>446</v>
      </c>
    </row>
    <row r="90" spans="1:8" ht="14.25" customHeight="1">
      <c r="A90" s="22">
        <v>329</v>
      </c>
      <c r="B90" s="22" t="s">
        <v>395</v>
      </c>
      <c r="C90" s="22" t="s">
        <v>137</v>
      </c>
      <c r="D90" s="22" t="s">
        <v>115</v>
      </c>
      <c r="E90" s="22" t="s">
        <v>179</v>
      </c>
      <c r="F90" s="22" t="s">
        <v>432</v>
      </c>
      <c r="G90" s="22" t="s">
        <v>25</v>
      </c>
      <c r="H90" s="22" t="s">
        <v>446</v>
      </c>
    </row>
    <row r="91" spans="1:8" ht="14.25" customHeight="1">
      <c r="A91" s="22">
        <v>329</v>
      </c>
      <c r="B91" s="22" t="s">
        <v>122</v>
      </c>
      <c r="C91" s="22" t="s">
        <v>123</v>
      </c>
      <c r="D91" s="22" t="s">
        <v>115</v>
      </c>
      <c r="E91" s="22" t="s">
        <v>179</v>
      </c>
      <c r="F91" s="22" t="s">
        <v>432</v>
      </c>
      <c r="G91" s="22" t="s">
        <v>25</v>
      </c>
      <c r="H91" s="22" t="s">
        <v>445</v>
      </c>
    </row>
    <row r="92" spans="1:8" ht="14.25" customHeight="1">
      <c r="A92" s="22">
        <v>329</v>
      </c>
      <c r="B92" s="22" t="s">
        <v>119</v>
      </c>
      <c r="C92" s="22" t="s">
        <v>124</v>
      </c>
      <c r="D92" s="22" t="s">
        <v>115</v>
      </c>
      <c r="E92" s="22" t="s">
        <v>179</v>
      </c>
      <c r="F92" s="22" t="s">
        <v>432</v>
      </c>
      <c r="G92" s="22" t="s">
        <v>25</v>
      </c>
      <c r="H92" s="22" t="s">
        <v>445</v>
      </c>
    </row>
    <row r="93" spans="1:8" ht="14.25" customHeight="1">
      <c r="A93" s="22">
        <v>329</v>
      </c>
      <c r="B93" s="22" t="s">
        <v>157</v>
      </c>
      <c r="C93" s="22" t="s">
        <v>124</v>
      </c>
      <c r="D93" s="22" t="s">
        <v>115</v>
      </c>
      <c r="E93" s="22" t="s">
        <v>179</v>
      </c>
      <c r="F93" s="22" t="s">
        <v>432</v>
      </c>
      <c r="G93" s="22" t="s">
        <v>25</v>
      </c>
      <c r="H93" s="22" t="s">
        <v>445</v>
      </c>
    </row>
    <row r="94" spans="1:8" ht="14.25" customHeight="1">
      <c r="A94" s="22">
        <v>329</v>
      </c>
      <c r="B94" s="22" t="s">
        <v>160</v>
      </c>
      <c r="C94" s="22" t="s">
        <v>124</v>
      </c>
      <c r="D94" s="22" t="s">
        <v>115</v>
      </c>
      <c r="E94" s="22" t="s">
        <v>179</v>
      </c>
      <c r="F94" s="22" t="s">
        <v>432</v>
      </c>
      <c r="G94" s="22" t="s">
        <v>25</v>
      </c>
      <c r="H94" s="22" t="s">
        <v>445</v>
      </c>
    </row>
    <row r="95" spans="1:8" ht="14.25" customHeight="1">
      <c r="A95" s="22"/>
      <c r="B95" s="22"/>
      <c r="C95" s="22"/>
      <c r="D95" s="22"/>
      <c r="E95" s="22"/>
      <c r="F95" s="22"/>
      <c r="G95" s="22"/>
      <c r="H95" s="22"/>
    </row>
    <row r="96" spans="1:8" ht="14.25" customHeight="1">
      <c r="A96" s="22"/>
      <c r="B96" s="22"/>
      <c r="C96" s="22"/>
      <c r="D96" s="22"/>
      <c r="E96" s="22"/>
      <c r="F96" s="22"/>
      <c r="G96" s="22"/>
      <c r="H96" s="22"/>
    </row>
    <row r="97" spans="1:8" ht="14.25" customHeight="1">
      <c r="A97" s="22"/>
      <c r="B97" s="22"/>
      <c r="C97" s="22"/>
      <c r="D97" s="22"/>
      <c r="E97" s="22"/>
      <c r="F97" s="22"/>
      <c r="G97" s="22"/>
      <c r="H97" s="22"/>
    </row>
    <row r="98" spans="1:8" ht="14.25" customHeight="1">
      <c r="A98" s="22"/>
      <c r="B98" s="22"/>
      <c r="C98" s="22"/>
      <c r="D98" s="22"/>
      <c r="E98" s="22"/>
      <c r="F98" s="22"/>
      <c r="G98" s="22"/>
      <c r="H98" s="22"/>
    </row>
    <row r="99" spans="1:8" ht="14.25" customHeight="1">
      <c r="A99" s="22"/>
      <c r="B99" s="22"/>
      <c r="C99" s="22"/>
      <c r="D99" s="22"/>
      <c r="E99" s="22"/>
      <c r="F99" s="22"/>
      <c r="G99" s="22"/>
      <c r="H99" s="22"/>
    </row>
    <row r="100" spans="1:8" ht="14.25" customHeight="1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D77" activePane="bottomRight" state="frozen"/>
      <selection pane="topRight" activeCell="B1" sqref="B1"/>
      <selection pane="bottomLeft" activeCell="A3" sqref="A3"/>
      <selection pane="bottomRight" activeCell="O92" sqref="O92"/>
    </sheetView>
  </sheetViews>
  <sheetFormatPr defaultColWidth="12.6640625" defaultRowHeight="15" customHeight="1"/>
  <cols>
    <col min="1" max="1" width="11.88671875" customWidth="1"/>
    <col min="2" max="3" width="19.44140625" customWidth="1"/>
    <col min="4" max="4" width="18.44140625" customWidth="1"/>
    <col min="5" max="5" width="20.33203125" customWidth="1"/>
    <col min="6" max="6" width="15.6640625" customWidth="1"/>
    <col min="7" max="7" width="19.44140625" customWidth="1"/>
    <col min="8" max="11" width="15.33203125" customWidth="1"/>
    <col min="12" max="12" width="18.6640625" customWidth="1"/>
    <col min="13" max="26" width="8.6640625" customWidth="1"/>
  </cols>
  <sheetData>
    <row r="1" spans="1:12" ht="14.25" customHeight="1">
      <c r="A1" s="90" t="s">
        <v>188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ht="52.95" customHeight="1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customHeight="1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customHeight="1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customHeight="1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customHeight="1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customHeight="1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customHeight="1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customHeight="1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customHeight="1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customHeight="1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customHeight="1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customHeight="1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customHeight="1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customHeight="1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customHeight="1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customHeight="1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customHeight="1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customHeight="1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customHeight="1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customHeight="1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customHeight="1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customHeight="1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customHeight="1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customHeight="1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customHeight="1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customHeight="1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customHeight="1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customHeight="1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customHeight="1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customHeight="1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customHeight="1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customHeight="1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customHeight="1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customHeight="1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customHeight="1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customHeight="1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customHeight="1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customHeight="1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customHeight="1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" customHeight="1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customHeight="1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customHeight="1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customHeight="1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customHeight="1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customHeight="1">
      <c r="A62" s="55">
        <v>324</v>
      </c>
      <c r="B62" s="55" t="s">
        <v>380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>
      <c r="A63" s="55">
        <v>324</v>
      </c>
      <c r="B63" s="55" t="s">
        <v>121</v>
      </c>
      <c r="C63" s="55" t="s">
        <v>153</v>
      </c>
      <c r="D63" s="55">
        <v>6.5</v>
      </c>
      <c r="E63" s="55" t="s">
        <v>381</v>
      </c>
      <c r="F63" s="55">
        <v>62.5</v>
      </c>
      <c r="G63" s="55">
        <v>6.5</v>
      </c>
      <c r="H63" s="55" t="s">
        <v>381</v>
      </c>
      <c r="I63" s="55">
        <v>30</v>
      </c>
      <c r="J63" s="55">
        <v>62.5</v>
      </c>
      <c r="K63" s="55" t="s">
        <v>381</v>
      </c>
      <c r="L63" s="55" t="s">
        <v>25</v>
      </c>
    </row>
    <row r="64" spans="1:12" ht="14.25" customHeight="1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customHeight="1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customHeight="1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customHeight="1">
      <c r="A67" s="55">
        <v>324</v>
      </c>
      <c r="B67" s="55" t="s">
        <v>119</v>
      </c>
      <c r="C67" s="55" t="s">
        <v>349</v>
      </c>
      <c r="D67" s="55">
        <v>2</v>
      </c>
      <c r="E67" s="55" t="s">
        <v>382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customHeight="1">
      <c r="A68" s="55">
        <v>324</v>
      </c>
      <c r="B68" s="55" t="s">
        <v>113</v>
      </c>
      <c r="C68" s="55" t="s">
        <v>349</v>
      </c>
      <c r="D68" s="55">
        <v>2</v>
      </c>
      <c r="E68" s="55" t="s">
        <v>382</v>
      </c>
      <c r="F68" s="55">
        <v>15</v>
      </c>
      <c r="G68" s="55" t="s">
        <v>25</v>
      </c>
      <c r="H68" s="55" t="s">
        <v>383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customHeight="1">
      <c r="A69" s="55">
        <v>324</v>
      </c>
      <c r="B69" s="55" t="s">
        <v>384</v>
      </c>
      <c r="C69" s="55" t="s">
        <v>349</v>
      </c>
      <c r="D69" s="55">
        <v>2</v>
      </c>
      <c r="E69" s="55" t="s">
        <v>382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customHeight="1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397</v>
      </c>
      <c r="I70" s="55" t="s">
        <v>25</v>
      </c>
      <c r="J70" s="55">
        <v>3250</v>
      </c>
      <c r="K70" s="55" t="s">
        <v>397</v>
      </c>
      <c r="L70" s="55" t="s">
        <v>25</v>
      </c>
    </row>
    <row r="71" spans="1:12" ht="14.25" customHeight="1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398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395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243</v>
      </c>
      <c r="C75" s="55" t="s">
        <v>137</v>
      </c>
      <c r="D75" s="55">
        <v>143</v>
      </c>
      <c r="E75" s="55" t="s">
        <v>381</v>
      </c>
      <c r="F75" s="55">
        <v>250</v>
      </c>
      <c r="G75" s="55">
        <v>143</v>
      </c>
      <c r="H75" s="55" t="s">
        <v>381</v>
      </c>
      <c r="I75" s="55">
        <v>200</v>
      </c>
      <c r="J75" s="55">
        <v>300</v>
      </c>
      <c r="K75" s="55" t="s">
        <v>381</v>
      </c>
      <c r="L75" s="55" t="s">
        <v>202</v>
      </c>
    </row>
    <row r="76" spans="1:12" ht="14.25" customHeight="1">
      <c r="A76" s="55">
        <v>326</v>
      </c>
      <c r="B76" s="55" t="s">
        <v>243</v>
      </c>
      <c r="C76" s="55" t="s">
        <v>137</v>
      </c>
      <c r="D76" s="55">
        <v>153</v>
      </c>
      <c r="E76" s="55" t="s">
        <v>381</v>
      </c>
      <c r="F76" s="55">
        <v>250</v>
      </c>
      <c r="G76" s="55">
        <v>153</v>
      </c>
      <c r="H76" s="55" t="s">
        <v>381</v>
      </c>
      <c r="I76" s="55">
        <v>200</v>
      </c>
      <c r="J76" s="55">
        <v>300</v>
      </c>
      <c r="K76" s="55" t="s">
        <v>381</v>
      </c>
      <c r="L76" s="55" t="s">
        <v>202</v>
      </c>
    </row>
    <row r="77" spans="1:12" ht="14.25" customHeight="1">
      <c r="A77" s="55">
        <v>326</v>
      </c>
      <c r="B77" s="55" t="s">
        <v>243</v>
      </c>
      <c r="C77" s="55" t="s">
        <v>137</v>
      </c>
      <c r="D77" s="55">
        <v>143</v>
      </c>
      <c r="E77" s="55" t="s">
        <v>381</v>
      </c>
      <c r="F77" s="55">
        <v>250</v>
      </c>
      <c r="G77" s="55">
        <v>153</v>
      </c>
      <c r="H77" s="55" t="s">
        <v>381</v>
      </c>
      <c r="I77" s="55">
        <v>200</v>
      </c>
      <c r="J77" s="55">
        <v>300</v>
      </c>
      <c r="K77" s="55" t="s">
        <v>381</v>
      </c>
      <c r="L77" s="55" t="s">
        <v>202</v>
      </c>
    </row>
    <row r="78" spans="1:12" ht="14.25" customHeight="1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customHeight="1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>
      <c r="A80" s="22">
        <v>327</v>
      </c>
      <c r="B80" s="65" t="s">
        <v>121</v>
      </c>
      <c r="C80" s="65" t="s">
        <v>153</v>
      </c>
      <c r="D80" s="22">
        <v>30</v>
      </c>
      <c r="E80" s="65" t="s">
        <v>381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customHeight="1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customHeight="1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customHeight="1">
      <c r="A83" s="22">
        <v>327</v>
      </c>
      <c r="B83" s="65" t="s">
        <v>418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customHeight="1">
      <c r="A84" s="22">
        <v>327</v>
      </c>
      <c r="B84" s="65" t="s">
        <v>419</v>
      </c>
      <c r="C84" s="65" t="s">
        <v>137</v>
      </c>
      <c r="D84" s="22">
        <v>4</v>
      </c>
      <c r="E84" s="65" t="s">
        <v>381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>
      <c r="A85" s="22">
        <v>328</v>
      </c>
      <c r="B85" s="22" t="s">
        <v>243</v>
      </c>
      <c r="C85" s="22" t="s">
        <v>137</v>
      </c>
      <c r="D85" s="22">
        <v>150</v>
      </c>
      <c r="E85" s="22" t="s">
        <v>381</v>
      </c>
      <c r="F85" s="22">
        <v>17</v>
      </c>
      <c r="G85" s="22">
        <v>100</v>
      </c>
      <c r="H85" s="22" t="s">
        <v>381</v>
      </c>
      <c r="I85" s="22">
        <v>16.5</v>
      </c>
      <c r="J85" s="22">
        <v>16.5</v>
      </c>
      <c r="K85" s="22" t="s">
        <v>381</v>
      </c>
      <c r="L85" s="22" t="s">
        <v>25</v>
      </c>
    </row>
    <row r="86" spans="1:12" ht="14.25" customHeight="1">
      <c r="A86" s="22">
        <v>329</v>
      </c>
      <c r="B86" s="22" t="s">
        <v>441</v>
      </c>
      <c r="C86" s="22" t="s">
        <v>151</v>
      </c>
      <c r="D86" s="22">
        <v>1.5</v>
      </c>
      <c r="E86" s="22" t="s">
        <v>260</v>
      </c>
      <c r="F86" s="22" t="s">
        <v>25</v>
      </c>
      <c r="G86" s="22" t="s">
        <v>25</v>
      </c>
      <c r="H86" s="22" t="s">
        <v>25</v>
      </c>
      <c r="I86" s="22" t="s">
        <v>25</v>
      </c>
      <c r="J86" s="22" t="s">
        <v>25</v>
      </c>
      <c r="K86" s="22" t="s">
        <v>25</v>
      </c>
      <c r="L86" s="22" t="s">
        <v>25</v>
      </c>
    </row>
    <row r="87" spans="1:12" ht="14.25" customHeight="1">
      <c r="A87" s="22">
        <v>329</v>
      </c>
      <c r="B87" s="22" t="s">
        <v>442</v>
      </c>
      <c r="C87" s="22" t="s">
        <v>151</v>
      </c>
      <c r="D87" s="22">
        <v>1</v>
      </c>
      <c r="E87" s="22" t="s">
        <v>381</v>
      </c>
      <c r="F87" s="22" t="s">
        <v>25</v>
      </c>
      <c r="G87" s="22" t="s">
        <v>25</v>
      </c>
      <c r="H87" s="22" t="s">
        <v>25</v>
      </c>
      <c r="I87" s="22" t="s">
        <v>25</v>
      </c>
      <c r="J87" s="22" t="s">
        <v>25</v>
      </c>
      <c r="K87" s="22" t="s">
        <v>25</v>
      </c>
      <c r="L87" s="22" t="s">
        <v>25</v>
      </c>
    </row>
    <row r="88" spans="1:12" ht="14.25" customHeight="1">
      <c r="A88" s="22">
        <v>329</v>
      </c>
      <c r="B88" s="22" t="s">
        <v>443</v>
      </c>
      <c r="C88" s="22" t="s">
        <v>151</v>
      </c>
      <c r="D88" s="22">
        <v>1</v>
      </c>
      <c r="E88" s="22" t="s">
        <v>381</v>
      </c>
      <c r="F88" s="22" t="s">
        <v>25</v>
      </c>
      <c r="G88" s="22" t="s">
        <v>25</v>
      </c>
      <c r="H88" s="22" t="s">
        <v>25</v>
      </c>
      <c r="I88" s="22" t="s">
        <v>25</v>
      </c>
      <c r="J88" s="22" t="s">
        <v>25</v>
      </c>
      <c r="K88" s="22" t="s">
        <v>25</v>
      </c>
      <c r="L88" s="22" t="s">
        <v>25</v>
      </c>
    </row>
    <row r="89" spans="1:12" ht="14.25" customHeight="1">
      <c r="A89" s="22">
        <v>329</v>
      </c>
      <c r="B89" s="22" t="s">
        <v>444</v>
      </c>
      <c r="C89" s="22" t="s">
        <v>151</v>
      </c>
      <c r="D89" s="22">
        <v>1</v>
      </c>
      <c r="E89" s="22" t="s">
        <v>381</v>
      </c>
      <c r="F89" s="22" t="s">
        <v>25</v>
      </c>
      <c r="G89" s="22" t="s">
        <v>25</v>
      </c>
      <c r="H89" s="22" t="s">
        <v>25</v>
      </c>
      <c r="I89" s="22" t="s">
        <v>25</v>
      </c>
      <c r="J89" s="22" t="s">
        <v>25</v>
      </c>
      <c r="K89" s="22" t="s">
        <v>25</v>
      </c>
      <c r="L89" s="22" t="s">
        <v>25</v>
      </c>
    </row>
    <row r="90" spans="1:12" ht="14.25" customHeight="1">
      <c r="A90" s="22">
        <v>329</v>
      </c>
      <c r="B90" s="22" t="s">
        <v>152</v>
      </c>
      <c r="C90" s="22" t="s">
        <v>137</v>
      </c>
      <c r="D90" s="22">
        <v>5</v>
      </c>
      <c r="E90" s="22" t="s">
        <v>381</v>
      </c>
      <c r="F90" s="22" t="s">
        <v>25</v>
      </c>
      <c r="G90" s="22"/>
      <c r="H90" s="22" t="s">
        <v>25</v>
      </c>
      <c r="I90" s="22" t="s">
        <v>25</v>
      </c>
      <c r="J90" s="22" t="s">
        <v>25</v>
      </c>
      <c r="K90" s="22" t="s">
        <v>25</v>
      </c>
      <c r="L90" s="22" t="s">
        <v>25</v>
      </c>
    </row>
    <row r="91" spans="1:12" ht="14.25" customHeight="1">
      <c r="A91" s="22">
        <v>329</v>
      </c>
      <c r="B91" s="22" t="s">
        <v>398</v>
      </c>
      <c r="C91" s="22" t="s">
        <v>123</v>
      </c>
      <c r="D91" s="22">
        <v>2</v>
      </c>
      <c r="E91" s="22" t="s">
        <v>196</v>
      </c>
      <c r="F91" s="22" t="s">
        <v>25</v>
      </c>
      <c r="G91" s="22" t="s">
        <v>25</v>
      </c>
      <c r="H91" s="22" t="s">
        <v>25</v>
      </c>
      <c r="I91" s="22" t="s">
        <v>25</v>
      </c>
      <c r="J91" s="22" t="s">
        <v>25</v>
      </c>
      <c r="K91" s="22" t="s">
        <v>25</v>
      </c>
      <c r="L91" s="22" t="s">
        <v>25</v>
      </c>
    </row>
    <row r="92" spans="1:12" ht="14.25" customHeight="1">
      <c r="A92" s="22">
        <v>329</v>
      </c>
      <c r="B92" s="22" t="s">
        <v>119</v>
      </c>
      <c r="C92" s="22" t="s">
        <v>124</v>
      </c>
      <c r="D92" s="22">
        <v>2</v>
      </c>
      <c r="E92" s="22" t="s">
        <v>196</v>
      </c>
      <c r="F92" s="22" t="s">
        <v>25</v>
      </c>
      <c r="G92" s="22" t="s">
        <v>25</v>
      </c>
      <c r="H92" s="22" t="s">
        <v>25</v>
      </c>
      <c r="I92" s="22" t="s">
        <v>25</v>
      </c>
      <c r="J92" s="22" t="s">
        <v>25</v>
      </c>
      <c r="K92" s="22" t="s">
        <v>25</v>
      </c>
      <c r="L92" s="22" t="s">
        <v>25</v>
      </c>
    </row>
    <row r="93" spans="1:12" ht="14.25" customHeight="1">
      <c r="A93" s="22">
        <v>329</v>
      </c>
      <c r="B93" s="22" t="s">
        <v>157</v>
      </c>
      <c r="C93" s="22" t="s">
        <v>124</v>
      </c>
      <c r="D93" s="22" t="s">
        <v>25</v>
      </c>
      <c r="E93" s="22" t="s">
        <v>25</v>
      </c>
      <c r="F93" s="22" t="s">
        <v>25</v>
      </c>
      <c r="G93" s="22" t="s">
        <v>25</v>
      </c>
      <c r="H93" s="22" t="s">
        <v>25</v>
      </c>
      <c r="I93" s="22" t="s">
        <v>25</v>
      </c>
      <c r="J93" s="22" t="s">
        <v>25</v>
      </c>
      <c r="K93" s="22" t="s">
        <v>25</v>
      </c>
      <c r="L93" s="22" t="s">
        <v>25</v>
      </c>
    </row>
    <row r="94" spans="1:12" ht="14.25" customHeight="1">
      <c r="A94" s="22">
        <v>329</v>
      </c>
      <c r="B94" s="22" t="s">
        <v>160</v>
      </c>
      <c r="C94" s="22" t="s">
        <v>124</v>
      </c>
      <c r="D94" s="22">
        <v>2</v>
      </c>
      <c r="E94" s="22" t="s">
        <v>196</v>
      </c>
      <c r="F94" s="22" t="s">
        <v>25</v>
      </c>
      <c r="G94" s="22" t="s">
        <v>25</v>
      </c>
      <c r="H94" s="22" t="s">
        <v>25</v>
      </c>
      <c r="I94" s="22" t="s">
        <v>25</v>
      </c>
      <c r="J94" s="22" t="s">
        <v>25</v>
      </c>
      <c r="K94" s="22" t="s">
        <v>25</v>
      </c>
      <c r="L94" s="22" t="s">
        <v>25</v>
      </c>
    </row>
    <row r="95" spans="1:12" ht="14.2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D93" activePane="bottomRight" state="frozen"/>
      <selection pane="topRight" activeCell="B1" sqref="B1"/>
      <selection pane="bottomLeft" activeCell="A3" sqref="A3"/>
      <selection pane="bottomRight" activeCell="Q107" sqref="Q107"/>
    </sheetView>
  </sheetViews>
  <sheetFormatPr defaultColWidth="12.6640625" defaultRowHeight="15" customHeight="1"/>
  <cols>
    <col min="1" max="1" width="11.88671875" customWidth="1"/>
    <col min="2" max="2" width="33.5546875" customWidth="1"/>
    <col min="3" max="3" width="15.6640625" customWidth="1"/>
    <col min="4" max="4" width="23.33203125" customWidth="1"/>
    <col min="5" max="5" width="9" customWidth="1"/>
    <col min="6" max="6" width="13.88671875" customWidth="1"/>
    <col min="7" max="7" width="8" customWidth="1"/>
    <col min="8" max="8" width="9" customWidth="1"/>
    <col min="9" max="9" width="6.33203125" customWidth="1"/>
    <col min="10" max="10" width="7.6640625" customWidth="1"/>
    <col min="11" max="11" width="15.33203125" customWidth="1"/>
    <col min="12" max="12" width="17.6640625" customWidth="1"/>
    <col min="13" max="13" width="10.109375" customWidth="1"/>
    <col min="14" max="15" width="13.6640625" customWidth="1"/>
    <col min="16" max="16" width="12.109375" customWidth="1"/>
    <col min="17" max="17" width="24.6640625" customWidth="1"/>
    <col min="18" max="26" width="8.6640625" customWidth="1"/>
  </cols>
  <sheetData>
    <row r="1" spans="1:17" ht="14.25" customHeight="1">
      <c r="A1" s="89" t="s">
        <v>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7"/>
    </row>
    <row r="2" spans="1:17" ht="60" customHeight="1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customHeight="1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customHeight="1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customHeight="1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customHeight="1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customHeight="1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customHeight="1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customHeight="1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customHeight="1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customHeight="1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customHeight="1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customHeight="1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customHeight="1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customHeight="1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customHeight="1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customHeight="1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customHeight="1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customHeight="1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customHeight="1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customHeight="1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customHeight="1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customHeight="1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customHeight="1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customHeight="1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customHeight="1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customHeight="1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customHeight="1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customHeight="1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customHeight="1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customHeight="1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customHeight="1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customHeight="1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customHeight="1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customHeight="1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customHeight="1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customHeight="1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customHeight="1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customHeight="1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customHeight="1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customHeight="1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customHeight="1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customHeight="1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customHeight="1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customHeight="1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customHeight="1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customHeight="1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customHeight="1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customHeight="1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customHeight="1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customHeight="1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customHeight="1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customHeight="1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customHeight="1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customHeight="1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customHeight="1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customHeight="1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customHeight="1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customHeight="1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customHeight="1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customHeight="1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customHeight="1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customHeight="1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customHeight="1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customHeight="1">
      <c r="A87" s="55">
        <v>325</v>
      </c>
      <c r="B87" s="55" t="s">
        <v>399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397</v>
      </c>
      <c r="O87" s="55" t="s">
        <v>25</v>
      </c>
      <c r="P87" s="55">
        <v>20</v>
      </c>
      <c r="Q87" s="55" t="s">
        <v>397</v>
      </c>
    </row>
    <row r="88" spans="1:18" ht="14.25" customHeight="1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400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401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381</v>
      </c>
      <c r="O92" s="55" t="s">
        <v>25</v>
      </c>
      <c r="P92" s="55" t="s">
        <v>25</v>
      </c>
      <c r="Q92" s="55" t="s">
        <v>381</v>
      </c>
    </row>
    <row r="93" spans="1:18" ht="14.25" customHeight="1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customHeight="1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381</v>
      </c>
    </row>
    <row r="96" spans="1:18" ht="14.25" customHeight="1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customHeight="1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customHeight="1">
      <c r="A98" s="55">
        <v>327</v>
      </c>
      <c r="B98" s="55" t="s">
        <v>418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customHeight="1">
      <c r="A99" s="55">
        <v>327</v>
      </c>
      <c r="B99" s="55" t="s">
        <v>419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>
      <c r="A100" s="22">
        <v>328</v>
      </c>
      <c r="B100" s="22" t="s">
        <v>243</v>
      </c>
      <c r="C100" s="22" t="s">
        <v>137</v>
      </c>
      <c r="D100" s="22" t="s">
        <v>235</v>
      </c>
      <c r="E100" s="22" t="s">
        <v>25</v>
      </c>
      <c r="F100" s="22" t="s">
        <v>25</v>
      </c>
      <c r="G100" s="22" t="s">
        <v>25</v>
      </c>
      <c r="H100" s="22" t="s">
        <v>25</v>
      </c>
      <c r="I100" s="22" t="s">
        <v>25</v>
      </c>
      <c r="J100" s="22" t="s">
        <v>25</v>
      </c>
      <c r="K100" s="22" t="s">
        <v>262</v>
      </c>
      <c r="L100" s="22" t="s">
        <v>360</v>
      </c>
      <c r="M100" s="22">
        <v>50</v>
      </c>
      <c r="N100" s="22" t="s">
        <v>381</v>
      </c>
      <c r="O100" s="22">
        <v>10</v>
      </c>
      <c r="P100" s="22">
        <v>10</v>
      </c>
      <c r="Q100" s="22" t="s">
        <v>381</v>
      </c>
    </row>
    <row r="101" spans="1:17" ht="14.25" customHeight="1">
      <c r="A101" s="22">
        <v>329</v>
      </c>
      <c r="B101" s="22" t="s">
        <v>441</v>
      </c>
      <c r="C101" s="22" t="s">
        <v>151</v>
      </c>
      <c r="D101" s="22" t="s">
        <v>222</v>
      </c>
      <c r="E101" s="22" t="s">
        <v>25</v>
      </c>
      <c r="F101" s="22" t="s">
        <v>25</v>
      </c>
      <c r="G101" s="22" t="s">
        <v>25</v>
      </c>
      <c r="H101" s="22" t="s">
        <v>25</v>
      </c>
      <c r="I101" s="22" t="s">
        <v>25</v>
      </c>
      <c r="J101" s="22" t="s">
        <v>25</v>
      </c>
      <c r="K101" s="22" t="s">
        <v>101</v>
      </c>
      <c r="L101" s="22" t="s">
        <v>360</v>
      </c>
      <c r="M101" s="22" t="s">
        <v>25</v>
      </c>
      <c r="N101" s="22" t="s">
        <v>25</v>
      </c>
      <c r="O101" s="22">
        <v>4</v>
      </c>
      <c r="P101" s="22">
        <v>4</v>
      </c>
      <c r="Q101" s="22" t="s">
        <v>381</v>
      </c>
    </row>
    <row r="102" spans="1:17" ht="14.25" customHeight="1">
      <c r="A102" s="22">
        <v>329</v>
      </c>
      <c r="B102" s="22" t="s">
        <v>442</v>
      </c>
      <c r="C102" s="22" t="s">
        <v>151</v>
      </c>
      <c r="D102" s="22" t="s">
        <v>222</v>
      </c>
      <c r="E102" s="22" t="s">
        <v>25</v>
      </c>
      <c r="F102" s="22" t="s">
        <v>25</v>
      </c>
      <c r="G102" s="22" t="s">
        <v>25</v>
      </c>
      <c r="H102" s="22" t="s">
        <v>25</v>
      </c>
      <c r="I102" s="22" t="s">
        <v>25</v>
      </c>
      <c r="J102" s="22" t="s">
        <v>25</v>
      </c>
      <c r="K102" s="22" t="s">
        <v>25</v>
      </c>
      <c r="L102" s="22" t="s">
        <v>25</v>
      </c>
      <c r="M102" s="22" t="s">
        <v>25</v>
      </c>
      <c r="N102" s="22" t="s">
        <v>25</v>
      </c>
      <c r="O102" s="22">
        <v>4</v>
      </c>
      <c r="P102" s="22">
        <v>4</v>
      </c>
      <c r="Q102" s="22" t="s">
        <v>381</v>
      </c>
    </row>
    <row r="103" spans="1:17" ht="14.25" customHeight="1">
      <c r="A103" s="22">
        <v>329</v>
      </c>
      <c r="B103" s="22" t="s">
        <v>443</v>
      </c>
      <c r="C103" s="22" t="s">
        <v>151</v>
      </c>
      <c r="D103" s="22" t="s">
        <v>222</v>
      </c>
      <c r="E103" s="22" t="s">
        <v>25</v>
      </c>
      <c r="F103" s="22" t="s">
        <v>25</v>
      </c>
      <c r="G103" s="22" t="s">
        <v>25</v>
      </c>
      <c r="H103" s="22" t="s">
        <v>25</v>
      </c>
      <c r="I103" s="22" t="s">
        <v>25</v>
      </c>
      <c r="J103" s="22" t="s">
        <v>25</v>
      </c>
      <c r="K103" s="22" t="s">
        <v>25</v>
      </c>
      <c r="L103" s="22" t="s">
        <v>25</v>
      </c>
      <c r="M103" s="22" t="s">
        <v>25</v>
      </c>
      <c r="N103" s="22" t="s">
        <v>25</v>
      </c>
      <c r="O103" s="22">
        <v>4</v>
      </c>
      <c r="P103" s="22">
        <v>4</v>
      </c>
      <c r="Q103" s="22" t="s">
        <v>381</v>
      </c>
    </row>
    <row r="104" spans="1:17" ht="14.25" customHeight="1">
      <c r="A104" s="22">
        <v>329</v>
      </c>
      <c r="B104" s="22" t="s">
        <v>444</v>
      </c>
      <c r="C104" s="22" t="s">
        <v>151</v>
      </c>
      <c r="D104" s="22" t="s">
        <v>222</v>
      </c>
      <c r="E104" s="22" t="s">
        <v>25</v>
      </c>
      <c r="F104" s="22" t="s">
        <v>25</v>
      </c>
      <c r="G104" s="22" t="s">
        <v>25</v>
      </c>
      <c r="H104" s="22" t="s">
        <v>25</v>
      </c>
      <c r="I104" s="22" t="s">
        <v>25</v>
      </c>
      <c r="J104" s="22" t="s">
        <v>25</v>
      </c>
      <c r="K104" s="22" t="s">
        <v>25</v>
      </c>
      <c r="L104" s="22" t="s">
        <v>25</v>
      </c>
      <c r="M104" s="22" t="s">
        <v>25</v>
      </c>
      <c r="N104" s="22" t="s">
        <v>25</v>
      </c>
      <c r="O104" s="22">
        <v>4</v>
      </c>
      <c r="P104" s="22">
        <v>4</v>
      </c>
      <c r="Q104" s="22" t="s">
        <v>381</v>
      </c>
    </row>
    <row r="105" spans="1:17" ht="14.25" customHeight="1">
      <c r="A105" s="22">
        <v>329</v>
      </c>
      <c r="B105" s="22" t="s">
        <v>395</v>
      </c>
      <c r="C105" s="22" t="s">
        <v>137</v>
      </c>
      <c r="D105" s="22" t="s">
        <v>222</v>
      </c>
      <c r="E105" s="22" t="s">
        <v>25</v>
      </c>
      <c r="F105" s="22" t="s">
        <v>25</v>
      </c>
      <c r="G105" s="22" t="s">
        <v>25</v>
      </c>
      <c r="H105" s="22" t="s">
        <v>25</v>
      </c>
      <c r="I105" s="22" t="s">
        <v>25</v>
      </c>
      <c r="J105" s="22" t="s">
        <v>25</v>
      </c>
      <c r="K105" s="22" t="s">
        <v>25</v>
      </c>
      <c r="L105" s="22" t="s">
        <v>25</v>
      </c>
      <c r="M105" s="22" t="s">
        <v>25</v>
      </c>
      <c r="N105" s="22" t="s">
        <v>25</v>
      </c>
      <c r="O105" s="22">
        <v>4</v>
      </c>
      <c r="P105" s="22">
        <v>4</v>
      </c>
      <c r="Q105" s="22" t="s">
        <v>381</v>
      </c>
    </row>
    <row r="106" spans="1:17" ht="14.25" customHeight="1">
      <c r="A106" s="22">
        <v>329</v>
      </c>
      <c r="B106" s="22" t="s">
        <v>398</v>
      </c>
      <c r="C106" s="22" t="s">
        <v>123</v>
      </c>
      <c r="D106" s="22" t="s">
        <v>222</v>
      </c>
      <c r="E106" s="22" t="s">
        <v>25</v>
      </c>
      <c r="F106" s="22" t="s">
        <v>25</v>
      </c>
      <c r="G106" s="22" t="s">
        <v>25</v>
      </c>
      <c r="H106" s="22" t="s">
        <v>25</v>
      </c>
      <c r="I106" s="22" t="s">
        <v>25</v>
      </c>
      <c r="J106" s="22" t="s">
        <v>25</v>
      </c>
      <c r="K106" s="22" t="s">
        <v>25</v>
      </c>
      <c r="L106" s="22" t="s">
        <v>25</v>
      </c>
      <c r="M106" s="22" t="s">
        <v>25</v>
      </c>
      <c r="N106" s="22" t="s">
        <v>25</v>
      </c>
      <c r="O106" s="22">
        <v>10</v>
      </c>
      <c r="P106" s="22">
        <v>10</v>
      </c>
      <c r="Q106" s="22" t="s">
        <v>196</v>
      </c>
    </row>
    <row r="107" spans="1:17" ht="14.25" customHeight="1">
      <c r="A107" s="22">
        <v>329</v>
      </c>
      <c r="B107" s="22" t="s">
        <v>119</v>
      </c>
      <c r="C107" s="22" t="s">
        <v>124</v>
      </c>
      <c r="D107" s="22" t="s">
        <v>222</v>
      </c>
      <c r="E107" s="22" t="s">
        <v>25</v>
      </c>
      <c r="F107" s="22" t="s">
        <v>25</v>
      </c>
      <c r="G107" s="22" t="s">
        <v>25</v>
      </c>
      <c r="H107" s="22" t="s">
        <v>25</v>
      </c>
      <c r="I107" s="22" t="s">
        <v>25</v>
      </c>
      <c r="J107" s="22" t="s">
        <v>25</v>
      </c>
      <c r="K107" s="22" t="s">
        <v>25</v>
      </c>
      <c r="L107" s="22" t="s">
        <v>25</v>
      </c>
      <c r="M107" s="22" t="s">
        <v>25</v>
      </c>
      <c r="N107" s="22" t="s">
        <v>25</v>
      </c>
      <c r="O107" s="22">
        <v>20</v>
      </c>
      <c r="P107" s="22">
        <v>20</v>
      </c>
      <c r="Q107" s="22" t="s">
        <v>196</v>
      </c>
    </row>
    <row r="108" spans="1:17" ht="14.25" customHeight="1">
      <c r="A108" s="22">
        <v>329</v>
      </c>
      <c r="B108" s="22" t="s">
        <v>157</v>
      </c>
      <c r="C108" s="22" t="s">
        <v>124</v>
      </c>
      <c r="D108" s="22" t="s">
        <v>447</v>
      </c>
      <c r="E108" s="22" t="s">
        <v>25</v>
      </c>
      <c r="F108" s="22" t="s">
        <v>25</v>
      </c>
      <c r="G108" s="22" t="s">
        <v>25</v>
      </c>
      <c r="H108" s="22" t="s">
        <v>25</v>
      </c>
      <c r="I108" s="22" t="s">
        <v>25</v>
      </c>
      <c r="J108" s="22" t="s">
        <v>25</v>
      </c>
      <c r="K108" s="22" t="s">
        <v>25</v>
      </c>
      <c r="L108" s="22" t="s">
        <v>25</v>
      </c>
      <c r="M108" s="22" t="s">
        <v>25</v>
      </c>
      <c r="N108" s="22" t="s">
        <v>25</v>
      </c>
      <c r="O108" s="22">
        <v>20</v>
      </c>
      <c r="P108" s="22">
        <v>20</v>
      </c>
      <c r="Q108" s="22" t="s">
        <v>196</v>
      </c>
    </row>
    <row r="109" spans="1:17" ht="14.25" customHeight="1">
      <c r="A109" s="22">
        <v>329</v>
      </c>
      <c r="B109" s="22" t="s">
        <v>160</v>
      </c>
      <c r="C109" s="22" t="s">
        <v>124</v>
      </c>
      <c r="D109" s="22" t="s">
        <v>222</v>
      </c>
      <c r="E109" s="22" t="s">
        <v>25</v>
      </c>
      <c r="F109" s="22" t="s">
        <v>25</v>
      </c>
      <c r="G109" s="22" t="s">
        <v>25</v>
      </c>
      <c r="H109" s="22" t="s">
        <v>25</v>
      </c>
      <c r="I109" s="22" t="s">
        <v>25</v>
      </c>
      <c r="J109" s="22" t="s">
        <v>25</v>
      </c>
      <c r="K109" s="22" t="s">
        <v>25</v>
      </c>
      <c r="L109" s="22" t="s">
        <v>25</v>
      </c>
      <c r="M109" s="22" t="s">
        <v>25</v>
      </c>
      <c r="N109" s="22" t="s">
        <v>25</v>
      </c>
      <c r="O109" s="22">
        <v>20</v>
      </c>
      <c r="P109" s="22">
        <v>20</v>
      </c>
      <c r="Q109" s="22" t="s">
        <v>196</v>
      </c>
    </row>
    <row r="110" spans="1:17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1:17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topLeftCell="A35" workbookViewId="0">
      <selection activeCell="I45" sqref="I44:I45"/>
    </sheetView>
  </sheetViews>
  <sheetFormatPr defaultColWidth="12.6640625" defaultRowHeight="15" customHeight="1"/>
  <cols>
    <col min="1" max="1" width="11.88671875" customWidth="1"/>
    <col min="2" max="2" width="26.33203125" customWidth="1"/>
    <col min="3" max="3" width="29" customWidth="1"/>
    <col min="5" max="5" width="53.33203125" customWidth="1"/>
    <col min="6" max="6" width="17.6640625" customWidth="1"/>
    <col min="7" max="7" width="15.6640625" customWidth="1"/>
    <col min="8" max="26" width="8.6640625" customWidth="1"/>
  </cols>
  <sheetData>
    <row r="1" spans="1:7" ht="14.25" customHeight="1">
      <c r="A1" s="89" t="s">
        <v>283</v>
      </c>
      <c r="B1" s="86"/>
      <c r="C1" s="86"/>
      <c r="D1" s="86"/>
      <c r="E1" s="86"/>
      <c r="F1" s="86"/>
      <c r="G1" s="87"/>
    </row>
    <row r="2" spans="1:7" ht="75" customHeight="1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>
      <c r="A39" s="22">
        <v>325</v>
      </c>
      <c r="B39" s="65" t="s">
        <v>399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>
      <c r="A40" s="22">
        <v>326</v>
      </c>
      <c r="B40" s="65" t="s">
        <v>399</v>
      </c>
      <c r="C40" s="65" t="s">
        <v>411</v>
      </c>
      <c r="D40" s="65" t="s">
        <v>38</v>
      </c>
      <c r="E40" s="65" t="s">
        <v>412</v>
      </c>
      <c r="F40" s="22">
        <v>4.5</v>
      </c>
      <c r="G40" s="65" t="s">
        <v>309</v>
      </c>
    </row>
    <row r="41" spans="1:7" ht="14.25" customHeight="1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>
      <c r="A46" s="22">
        <v>327</v>
      </c>
      <c r="B46" s="55" t="s">
        <v>418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>
      <c r="A47" s="22">
        <v>327</v>
      </c>
      <c r="B47" s="55" t="s">
        <v>419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>
      <c r="A48" s="22">
        <v>328</v>
      </c>
      <c r="B48" s="22" t="s">
        <v>243</v>
      </c>
      <c r="C48" s="22" t="s">
        <v>434</v>
      </c>
      <c r="D48" s="22" t="s">
        <v>38</v>
      </c>
      <c r="E48" s="22" t="s">
        <v>115</v>
      </c>
      <c r="F48" s="22">
        <v>7.5</v>
      </c>
      <c r="G48" s="22" t="s">
        <v>448</v>
      </c>
    </row>
    <row r="49" spans="1:7" ht="14.25" customHeight="1">
      <c r="A49" s="22">
        <v>329</v>
      </c>
      <c r="B49" s="22" t="s">
        <v>441</v>
      </c>
      <c r="C49" s="22" t="s">
        <v>292</v>
      </c>
      <c r="D49" s="22" t="s">
        <v>38</v>
      </c>
      <c r="E49" s="22" t="s">
        <v>115</v>
      </c>
      <c r="F49" s="22">
        <v>4.75</v>
      </c>
      <c r="G49" s="22" t="s">
        <v>448</v>
      </c>
    </row>
    <row r="50" spans="1:7" ht="14.25" customHeight="1">
      <c r="A50" s="22">
        <v>329</v>
      </c>
      <c r="B50" s="22" t="s">
        <v>442</v>
      </c>
      <c r="C50" s="22" t="s">
        <v>292</v>
      </c>
      <c r="D50" s="22" t="s">
        <v>38</v>
      </c>
      <c r="E50" s="22" t="s">
        <v>115</v>
      </c>
      <c r="F50" s="22">
        <v>4.75</v>
      </c>
      <c r="G50" s="22" t="s">
        <v>448</v>
      </c>
    </row>
    <row r="51" spans="1:7" ht="14.25" customHeight="1">
      <c r="A51" s="22">
        <v>329</v>
      </c>
      <c r="B51" s="22" t="s">
        <v>443</v>
      </c>
      <c r="C51" s="22" t="s">
        <v>292</v>
      </c>
      <c r="D51" s="22" t="s">
        <v>38</v>
      </c>
      <c r="E51" s="22" t="s">
        <v>115</v>
      </c>
      <c r="F51" s="22">
        <v>4.75</v>
      </c>
      <c r="G51" s="22" t="s">
        <v>448</v>
      </c>
    </row>
    <row r="52" spans="1:7" ht="14.25" customHeight="1">
      <c r="A52" s="22">
        <v>329</v>
      </c>
      <c r="B52" s="22" t="s">
        <v>444</v>
      </c>
      <c r="C52" s="22" t="s">
        <v>292</v>
      </c>
      <c r="D52" s="22" t="s">
        <v>38</v>
      </c>
      <c r="E52" s="22" t="s">
        <v>115</v>
      </c>
      <c r="F52" s="22">
        <v>4.75</v>
      </c>
      <c r="G52" s="22" t="s">
        <v>448</v>
      </c>
    </row>
    <row r="53" spans="1:7" ht="14.25" customHeight="1">
      <c r="A53" s="22">
        <v>329</v>
      </c>
      <c r="B53" s="22" t="s">
        <v>395</v>
      </c>
      <c r="C53" s="22" t="s">
        <v>292</v>
      </c>
      <c r="D53" s="22" t="s">
        <v>38</v>
      </c>
      <c r="E53" s="22" t="s">
        <v>115</v>
      </c>
      <c r="F53" s="22">
        <v>4.75</v>
      </c>
      <c r="G53" s="22" t="s">
        <v>448</v>
      </c>
    </row>
    <row r="54" spans="1:7" ht="14.25" customHeight="1">
      <c r="A54" s="22">
        <v>329</v>
      </c>
      <c r="B54" s="22" t="s">
        <v>398</v>
      </c>
      <c r="C54" s="22" t="s">
        <v>292</v>
      </c>
      <c r="D54" s="22" t="s">
        <v>38</v>
      </c>
      <c r="E54" s="22" t="s">
        <v>115</v>
      </c>
      <c r="F54" s="22">
        <v>0.8</v>
      </c>
      <c r="G54" s="22" t="s">
        <v>230</v>
      </c>
    </row>
    <row r="55" spans="1:7" ht="14.25" customHeight="1">
      <c r="A55" s="22">
        <v>329</v>
      </c>
      <c r="B55" s="22" t="s">
        <v>119</v>
      </c>
      <c r="C55" s="22" t="s">
        <v>292</v>
      </c>
      <c r="D55" s="22" t="s">
        <v>38</v>
      </c>
      <c r="E55" s="22" t="s">
        <v>115</v>
      </c>
      <c r="F55" s="22">
        <v>0.8</v>
      </c>
      <c r="G55" s="22" t="s">
        <v>230</v>
      </c>
    </row>
    <row r="56" spans="1:7" ht="14.25" customHeight="1">
      <c r="A56" s="22">
        <v>329</v>
      </c>
      <c r="B56" s="22" t="s">
        <v>157</v>
      </c>
      <c r="C56" s="22" t="s">
        <v>292</v>
      </c>
      <c r="D56" s="22" t="s">
        <v>38</v>
      </c>
      <c r="E56" s="22" t="s">
        <v>115</v>
      </c>
      <c r="F56" s="22">
        <v>0.8</v>
      </c>
      <c r="G56" s="22" t="s">
        <v>230</v>
      </c>
    </row>
    <row r="57" spans="1:7" ht="14.25" customHeight="1">
      <c r="A57" s="22">
        <v>329</v>
      </c>
      <c r="B57" s="22" t="s">
        <v>160</v>
      </c>
      <c r="C57" s="22" t="s">
        <v>292</v>
      </c>
      <c r="D57" s="22" t="s">
        <v>38</v>
      </c>
      <c r="E57" s="22" t="s">
        <v>115</v>
      </c>
      <c r="F57" s="22">
        <v>0.8</v>
      </c>
      <c r="G57" s="22" t="s">
        <v>230</v>
      </c>
    </row>
    <row r="58" spans="1:7" ht="14.25" customHeight="1">
      <c r="A58" s="22"/>
      <c r="B58" s="22"/>
      <c r="C58" s="22"/>
      <c r="D58" s="22"/>
      <c r="E58" s="22"/>
      <c r="F58" s="22"/>
      <c r="G58" s="22"/>
    </row>
    <row r="59" spans="1:7" ht="14.25" customHeight="1">
      <c r="A59" s="22"/>
      <c r="B59" s="22"/>
      <c r="C59" s="22"/>
      <c r="D59" s="22"/>
      <c r="E59" s="22"/>
      <c r="F59" s="22"/>
      <c r="G59" s="22"/>
    </row>
    <row r="60" spans="1:7" ht="14.25" customHeight="1">
      <c r="A60" s="22"/>
      <c r="B60" s="22"/>
      <c r="C60" s="22"/>
      <c r="D60" s="22"/>
      <c r="E60" s="22"/>
      <c r="F60" s="22"/>
      <c r="G60" s="22"/>
    </row>
    <row r="61" spans="1:7" ht="14.25" customHeight="1">
      <c r="A61" s="22"/>
      <c r="B61" s="22"/>
      <c r="C61" s="22"/>
      <c r="D61" s="22"/>
      <c r="E61" s="22"/>
      <c r="F61" s="22"/>
      <c r="G61" s="22"/>
    </row>
    <row r="62" spans="1:7" ht="14.25" customHeight="1">
      <c r="A62" s="22"/>
      <c r="B62" s="22"/>
      <c r="C62" s="22"/>
      <c r="D62" s="22"/>
      <c r="E62" s="22"/>
      <c r="F62" s="22"/>
      <c r="G62" s="22"/>
    </row>
    <row r="63" spans="1:7" ht="14.25" customHeight="1">
      <c r="A63" s="22"/>
      <c r="B63" s="22"/>
      <c r="C63" s="22"/>
      <c r="D63" s="22"/>
      <c r="E63" s="22"/>
      <c r="F63" s="22"/>
      <c r="G63" s="22"/>
    </row>
    <row r="64" spans="1:7" ht="14.25" customHeight="1">
      <c r="A64" s="22"/>
      <c r="B64" s="22"/>
      <c r="C64" s="22"/>
      <c r="D64" s="22"/>
      <c r="E64" s="22"/>
      <c r="F64" s="22"/>
      <c r="G64" s="22"/>
    </row>
    <row r="65" spans="1:7" ht="14.25" customHeight="1">
      <c r="A65" s="22"/>
      <c r="B65" s="22"/>
      <c r="C65" s="22"/>
      <c r="D65" s="22"/>
      <c r="E65" s="22"/>
      <c r="F65" s="22"/>
      <c r="G65" s="22"/>
    </row>
    <row r="66" spans="1:7" ht="14.25" customHeight="1">
      <c r="A66" s="22"/>
      <c r="B66" s="22"/>
      <c r="C66" s="22"/>
      <c r="D66" s="22"/>
      <c r="E66" s="22"/>
      <c r="F66" s="22"/>
      <c r="G66" s="22"/>
    </row>
    <row r="67" spans="1:7" ht="14.25" customHeight="1">
      <c r="A67" s="22"/>
      <c r="B67" s="22"/>
      <c r="C67" s="22"/>
      <c r="D67" s="22"/>
      <c r="E67" s="22"/>
      <c r="F67" s="22"/>
      <c r="G67" s="22"/>
    </row>
    <row r="68" spans="1:7" ht="14.25" customHeight="1">
      <c r="A68" s="22"/>
      <c r="B68" s="22"/>
      <c r="C68" s="22"/>
      <c r="D68" s="22"/>
      <c r="E68" s="22"/>
      <c r="F68" s="22"/>
      <c r="G68" s="22"/>
    </row>
    <row r="69" spans="1:7" ht="14.25" customHeight="1">
      <c r="A69" s="22"/>
      <c r="B69" s="22"/>
      <c r="C69" s="22"/>
      <c r="D69" s="22"/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93"/>
  <sheetViews>
    <sheetView tabSelected="1" topLeftCell="A61" workbookViewId="0">
      <selection activeCell="G72" sqref="G72"/>
    </sheetView>
  </sheetViews>
  <sheetFormatPr defaultColWidth="12.6640625" defaultRowHeight="15" customHeight="1"/>
  <cols>
    <col min="2" max="2" width="32.33203125" customWidth="1"/>
    <col min="3" max="3" width="28.6640625" customWidth="1"/>
    <col min="5" max="5" width="20.6640625" customWidth="1"/>
    <col min="7" max="7" width="25" customWidth="1"/>
  </cols>
  <sheetData>
    <row r="1" spans="1:9" ht="14.4">
      <c r="A1" s="108" t="s">
        <v>316</v>
      </c>
      <c r="B1" s="86"/>
      <c r="C1" s="86"/>
      <c r="D1" s="86"/>
      <c r="E1" s="86"/>
      <c r="F1" s="86"/>
      <c r="G1" s="86"/>
      <c r="H1" s="86"/>
      <c r="I1" s="87"/>
    </row>
    <row r="2" spans="1:9" ht="42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 ht="14.4">
      <c r="A3" s="101" t="s">
        <v>322</v>
      </c>
      <c r="B3" s="86"/>
      <c r="C3" s="86"/>
      <c r="D3" s="86"/>
      <c r="E3" s="86"/>
      <c r="F3" s="86"/>
      <c r="G3" s="86"/>
      <c r="H3" s="86"/>
      <c r="I3" s="87"/>
    </row>
    <row r="4" spans="1:9" ht="14.4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109">
        <f>SUM(H4:H6)</f>
        <v>7400</v>
      </c>
    </row>
    <row r="5" spans="1:9" ht="14.4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102"/>
    </row>
    <row r="6" spans="1:9" ht="14.4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9"/>
    </row>
    <row r="7" spans="1:9" ht="14.4">
      <c r="A7" s="100"/>
      <c r="B7" s="86"/>
      <c r="C7" s="86"/>
      <c r="D7" s="86"/>
      <c r="E7" s="86"/>
      <c r="F7" s="86"/>
      <c r="G7" s="86"/>
      <c r="H7" s="86"/>
      <c r="I7" s="87"/>
    </row>
    <row r="8" spans="1:9" ht="14.4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109">
        <f>SUM(H8:H9)</f>
        <v>750</v>
      </c>
    </row>
    <row r="9" spans="1:9" ht="14.4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9"/>
    </row>
    <row r="10" spans="1:9" ht="14.4">
      <c r="A10" s="100"/>
      <c r="B10" s="86"/>
      <c r="C10" s="86"/>
      <c r="D10" s="86"/>
      <c r="E10" s="86"/>
      <c r="F10" s="86"/>
      <c r="G10" s="86"/>
      <c r="H10" s="86"/>
      <c r="I10" s="87"/>
    </row>
    <row r="11" spans="1:9" ht="14.4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8"/>
    </row>
    <row r="12" spans="1:9" ht="14.4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9"/>
    </row>
    <row r="13" spans="1:9" ht="14.4">
      <c r="A13" s="100"/>
      <c r="B13" s="86"/>
      <c r="C13" s="86"/>
      <c r="D13" s="86"/>
      <c r="E13" s="86"/>
      <c r="F13" s="86"/>
      <c r="G13" s="86"/>
      <c r="H13" s="86"/>
      <c r="I13" s="87"/>
    </row>
    <row r="14" spans="1:9" ht="14.4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5">
        <v>1292.4000000000001</v>
      </c>
    </row>
    <row r="15" spans="1:9" ht="14.4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6"/>
    </row>
    <row r="16" spans="1:9" ht="14.4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6"/>
    </row>
    <row r="17" spans="1:9" ht="14.4">
      <c r="A17" s="13">
        <v>324</v>
      </c>
      <c r="B17" s="67" t="s">
        <v>376</v>
      </c>
      <c r="C17" s="54" t="s">
        <v>113</v>
      </c>
      <c r="D17" s="70">
        <v>2.4E-2</v>
      </c>
      <c r="E17" s="70" t="s">
        <v>381</v>
      </c>
      <c r="F17" s="70">
        <v>15</v>
      </c>
      <c r="G17" s="70" t="s">
        <v>425</v>
      </c>
      <c r="H17" s="82">
        <v>14.4</v>
      </c>
      <c r="I17" s="106"/>
    </row>
    <row r="18" spans="1:9" ht="14.4">
      <c r="A18" s="13">
        <v>324</v>
      </c>
      <c r="B18" s="67" t="s">
        <v>376</v>
      </c>
      <c r="C18" s="54" t="s">
        <v>426</v>
      </c>
      <c r="D18" s="70">
        <v>72</v>
      </c>
      <c r="E18" s="70" t="s">
        <v>361</v>
      </c>
      <c r="F18" s="83">
        <v>1.5</v>
      </c>
      <c r="G18" s="70" t="s">
        <v>366</v>
      </c>
      <c r="H18" s="71">
        <v>108</v>
      </c>
      <c r="I18" s="106"/>
    </row>
    <row r="19" spans="1:9" ht="14.4">
      <c r="A19" s="13">
        <v>324</v>
      </c>
      <c r="B19" s="67" t="s">
        <v>376</v>
      </c>
      <c r="C19" s="54" t="s">
        <v>379</v>
      </c>
      <c r="D19" s="70">
        <v>0.12</v>
      </c>
      <c r="E19" s="70" t="s">
        <v>196</v>
      </c>
      <c r="F19" s="83">
        <v>250</v>
      </c>
      <c r="G19" s="70" t="s">
        <v>196</v>
      </c>
      <c r="H19" s="82">
        <v>30</v>
      </c>
      <c r="I19" s="107"/>
    </row>
    <row r="20" spans="1:9" ht="14.4">
      <c r="A20" s="13">
        <v>327</v>
      </c>
      <c r="B20" s="67" t="s">
        <v>386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94">
        <v>7760</v>
      </c>
    </row>
    <row r="21" spans="1:9" ht="14.4">
      <c r="A21" s="103" t="s">
        <v>326</v>
      </c>
      <c r="B21" s="104"/>
      <c r="C21" s="58"/>
      <c r="D21" s="58"/>
      <c r="E21" s="58"/>
      <c r="F21" s="58"/>
      <c r="G21" s="58"/>
      <c r="H21" s="58"/>
      <c r="I21" s="95"/>
    </row>
    <row r="22" spans="1:9" ht="14.4">
      <c r="A22" s="12">
        <v>307</v>
      </c>
      <c r="B22" s="13" t="s">
        <v>26</v>
      </c>
      <c r="C22" s="12" t="s">
        <v>327</v>
      </c>
      <c r="D22" s="39">
        <v>1200</v>
      </c>
      <c r="E22" s="39" t="s">
        <v>209</v>
      </c>
      <c r="F22" s="39">
        <v>5</v>
      </c>
      <c r="G22" s="39" t="s">
        <v>209</v>
      </c>
      <c r="H22" s="40">
        <f t="shared" ref="H22:H24" si="2">F22*D22</f>
        <v>6000</v>
      </c>
      <c r="I22" s="59"/>
    </row>
    <row r="23" spans="1:9" ht="14.4">
      <c r="A23" s="39">
        <v>307</v>
      </c>
      <c r="B23" s="13" t="s">
        <v>26</v>
      </c>
      <c r="C23" s="39" t="s">
        <v>328</v>
      </c>
      <c r="D23" s="39">
        <v>80</v>
      </c>
      <c r="E23" s="39" t="s">
        <v>329</v>
      </c>
      <c r="F23" s="39">
        <v>10</v>
      </c>
      <c r="G23" s="39" t="s">
        <v>329</v>
      </c>
      <c r="H23" s="40">
        <f t="shared" si="2"/>
        <v>800</v>
      </c>
      <c r="I23" s="40">
        <f>H30</f>
        <v>0</v>
      </c>
    </row>
    <row r="24" spans="1:9" ht="14.4">
      <c r="A24" s="39">
        <v>309</v>
      </c>
      <c r="B24" s="13" t="s">
        <v>26</v>
      </c>
      <c r="C24" s="39" t="s">
        <v>328</v>
      </c>
      <c r="D24" s="39">
        <v>80</v>
      </c>
      <c r="E24" s="39" t="s">
        <v>329</v>
      </c>
      <c r="F24" s="39">
        <v>12</v>
      </c>
      <c r="G24" s="39" t="s">
        <v>329</v>
      </c>
      <c r="H24" s="40">
        <f t="shared" si="2"/>
        <v>960</v>
      </c>
      <c r="I24" s="59"/>
    </row>
    <row r="25" spans="1:9" ht="14.4">
      <c r="A25" s="39">
        <v>309</v>
      </c>
      <c r="B25" s="13" t="s">
        <v>26</v>
      </c>
      <c r="C25" s="39" t="s">
        <v>248</v>
      </c>
      <c r="D25" s="39" t="s">
        <v>25</v>
      </c>
      <c r="E25" s="39" t="s">
        <v>25</v>
      </c>
      <c r="F25" s="39" t="s">
        <v>25</v>
      </c>
      <c r="G25" s="39" t="s">
        <v>25</v>
      </c>
      <c r="H25" s="40"/>
      <c r="I25" s="43"/>
    </row>
    <row r="26" spans="1:9" ht="14.4">
      <c r="A26" s="39">
        <v>309</v>
      </c>
      <c r="B26" s="13" t="s">
        <v>26</v>
      </c>
      <c r="C26" s="39" t="s">
        <v>330</v>
      </c>
      <c r="D26" s="39" t="s">
        <v>25</v>
      </c>
      <c r="E26" s="39" t="s">
        <v>25</v>
      </c>
      <c r="F26" s="39" t="s">
        <v>25</v>
      </c>
      <c r="G26" s="39" t="s">
        <v>25</v>
      </c>
      <c r="H26" s="40"/>
      <c r="I26" s="40"/>
    </row>
    <row r="27" spans="1:9" ht="14.4">
      <c r="A27" s="62" t="s">
        <v>331</v>
      </c>
      <c r="B27" s="58"/>
      <c r="C27" s="58"/>
      <c r="D27" s="58"/>
      <c r="E27" s="58"/>
      <c r="F27" s="58"/>
      <c r="G27" s="58"/>
      <c r="H27" s="58"/>
      <c r="I27" s="59"/>
    </row>
    <row r="28" spans="1:9" ht="14.4">
      <c r="A28" s="12">
        <v>309</v>
      </c>
      <c r="B28" s="13" t="s">
        <v>26</v>
      </c>
      <c r="C28" s="12" t="s">
        <v>243</v>
      </c>
      <c r="D28" s="39">
        <f>5.5*60</f>
        <v>330</v>
      </c>
      <c r="E28" s="39" t="s">
        <v>198</v>
      </c>
      <c r="F28" s="39">
        <f>150/60</f>
        <v>2.5</v>
      </c>
      <c r="G28" s="39" t="s">
        <v>198</v>
      </c>
      <c r="H28" s="40">
        <f>F28*D28</f>
        <v>825</v>
      </c>
      <c r="I28" s="59"/>
    </row>
    <row r="29" spans="1:9" ht="14.4">
      <c r="A29" s="12">
        <v>325</v>
      </c>
      <c r="B29" s="54" t="s">
        <v>386</v>
      </c>
      <c r="C29" s="12" t="s">
        <v>243</v>
      </c>
      <c r="D29" s="39">
        <v>10</v>
      </c>
      <c r="E29" s="54" t="s">
        <v>397</v>
      </c>
      <c r="F29" s="39">
        <v>20</v>
      </c>
      <c r="G29" s="54" t="s">
        <v>397</v>
      </c>
      <c r="H29" s="40">
        <f>F29*D29</f>
        <v>200</v>
      </c>
      <c r="I29" s="59"/>
    </row>
    <row r="30" spans="1:9" ht="14.4">
      <c r="A30" s="12">
        <v>326</v>
      </c>
      <c r="B30" s="54" t="s">
        <v>386</v>
      </c>
      <c r="C30" s="12" t="s">
        <v>243</v>
      </c>
      <c r="D30" s="39">
        <v>321.75</v>
      </c>
      <c r="E30" s="54" t="s">
        <v>198</v>
      </c>
      <c r="F30" s="54" t="s">
        <v>25</v>
      </c>
      <c r="G30" s="54" t="s">
        <v>25</v>
      </c>
      <c r="H30" s="78"/>
      <c r="I30" s="40"/>
    </row>
    <row r="31" spans="1:9" ht="14.4">
      <c r="A31" s="12">
        <v>328</v>
      </c>
      <c r="B31" s="54" t="s">
        <v>435</v>
      </c>
      <c r="C31" s="12" t="s">
        <v>243</v>
      </c>
      <c r="D31" s="39">
        <v>50</v>
      </c>
      <c r="E31" s="54" t="s">
        <v>381</v>
      </c>
      <c r="F31" s="54">
        <v>10</v>
      </c>
      <c r="G31" s="54" t="s">
        <v>381</v>
      </c>
      <c r="H31" s="84">
        <v>500</v>
      </c>
      <c r="I31" s="40"/>
    </row>
    <row r="32" spans="1:9" ht="14.4">
      <c r="A32" s="41">
        <v>318</v>
      </c>
      <c r="B32" s="41" t="s">
        <v>81</v>
      </c>
      <c r="C32" s="42" t="s">
        <v>243</v>
      </c>
      <c r="D32" s="41">
        <v>30</v>
      </c>
      <c r="E32" s="41" t="s">
        <v>209</v>
      </c>
      <c r="F32" s="41">
        <v>10</v>
      </c>
      <c r="G32" s="41" t="s">
        <v>209</v>
      </c>
      <c r="H32" s="43">
        <f>F32*D32</f>
        <v>300</v>
      </c>
      <c r="I32" s="40"/>
    </row>
    <row r="33" spans="1:9" ht="14.4">
      <c r="A33" s="39"/>
      <c r="B33" s="13"/>
      <c r="C33" s="12"/>
      <c r="D33" s="39"/>
      <c r="E33" s="39"/>
      <c r="F33" s="39"/>
      <c r="G33" s="39"/>
      <c r="H33" s="40"/>
      <c r="I33" s="59"/>
    </row>
    <row r="34" spans="1:9" ht="14.4">
      <c r="A34" s="62" t="s">
        <v>332</v>
      </c>
      <c r="B34" s="58"/>
      <c r="C34" s="58"/>
      <c r="D34" s="58"/>
      <c r="E34" s="58"/>
      <c r="F34" s="58"/>
      <c r="G34" s="58"/>
      <c r="H34" s="58"/>
      <c r="I34" s="94">
        <f>SUM(H42:H43)</f>
        <v>625</v>
      </c>
    </row>
    <row r="35" spans="1:9" ht="14.4">
      <c r="A35" s="39">
        <v>304</v>
      </c>
      <c r="B35" s="13" t="s">
        <v>26</v>
      </c>
      <c r="C35" s="39" t="s">
        <v>119</v>
      </c>
      <c r="D35" s="39">
        <v>7.5</v>
      </c>
      <c r="E35" s="39" t="s">
        <v>196</v>
      </c>
      <c r="F35" s="39">
        <v>150</v>
      </c>
      <c r="G35" s="39" t="s">
        <v>225</v>
      </c>
      <c r="H35" s="40">
        <f>F35*D35</f>
        <v>1125</v>
      </c>
      <c r="I35" s="102"/>
    </row>
    <row r="36" spans="1:9" ht="14.4">
      <c r="A36" s="41">
        <v>306</v>
      </c>
      <c r="B36" s="36" t="s">
        <v>26</v>
      </c>
      <c r="C36" s="41" t="s">
        <v>119</v>
      </c>
      <c r="D36" s="41" t="s">
        <v>25</v>
      </c>
      <c r="E36" s="41" t="s">
        <v>25</v>
      </c>
      <c r="F36" s="41" t="s">
        <v>25</v>
      </c>
      <c r="G36" s="41" t="s">
        <v>25</v>
      </c>
      <c r="H36" s="40"/>
      <c r="I36" s="99"/>
    </row>
    <row r="37" spans="1:9" ht="14.4">
      <c r="A37" s="44">
        <v>310</v>
      </c>
      <c r="B37" s="45" t="s">
        <v>26</v>
      </c>
      <c r="C37" s="44" t="s">
        <v>119</v>
      </c>
      <c r="D37" s="44">
        <v>80</v>
      </c>
      <c r="E37" s="44" t="s">
        <v>252</v>
      </c>
      <c r="F37" s="44">
        <v>120</v>
      </c>
      <c r="G37" s="44" t="s">
        <v>196</v>
      </c>
      <c r="H37" s="40"/>
      <c r="I37" s="59"/>
    </row>
    <row r="38" spans="1:9" ht="14.4">
      <c r="A38" s="79">
        <v>327</v>
      </c>
      <c r="B38" s="80" t="s">
        <v>386</v>
      </c>
      <c r="C38" s="80" t="s">
        <v>119</v>
      </c>
      <c r="D38" s="80" t="s">
        <v>25</v>
      </c>
      <c r="E38" s="80" t="s">
        <v>25</v>
      </c>
      <c r="F38" s="79">
        <v>7</v>
      </c>
      <c r="G38" s="80" t="s">
        <v>196</v>
      </c>
      <c r="H38" s="78"/>
      <c r="I38" s="40"/>
    </row>
    <row r="39" spans="1:9" ht="14.4">
      <c r="A39" s="79">
        <v>329</v>
      </c>
      <c r="B39" s="80" t="s">
        <v>449</v>
      </c>
      <c r="C39" s="80" t="s">
        <v>119</v>
      </c>
      <c r="D39" s="80" t="s">
        <v>25</v>
      </c>
      <c r="E39" s="80" t="s">
        <v>25</v>
      </c>
      <c r="F39" s="79">
        <v>20</v>
      </c>
      <c r="G39" s="80" t="s">
        <v>196</v>
      </c>
      <c r="H39" s="78"/>
      <c r="I39" s="40"/>
    </row>
    <row r="40" spans="1:9" ht="14.4">
      <c r="A40" s="61"/>
      <c r="B40" s="58"/>
      <c r="C40" s="58"/>
      <c r="D40" s="58"/>
      <c r="E40" s="58"/>
      <c r="F40" s="58"/>
      <c r="G40" s="58"/>
      <c r="H40" s="58"/>
      <c r="I40" s="40"/>
    </row>
    <row r="41" spans="1:9" ht="14.4">
      <c r="A41" s="41">
        <v>315</v>
      </c>
      <c r="B41" s="42" t="s">
        <v>333</v>
      </c>
      <c r="C41" s="41" t="s">
        <v>119</v>
      </c>
      <c r="D41" s="41" t="s">
        <v>25</v>
      </c>
      <c r="E41" s="41" t="s">
        <v>196</v>
      </c>
      <c r="F41" s="41">
        <v>120</v>
      </c>
      <c r="G41" s="41" t="s">
        <v>196</v>
      </c>
      <c r="H41" s="40"/>
      <c r="I41" s="40"/>
    </row>
    <row r="42" spans="1:9" ht="14.4">
      <c r="A42" s="39">
        <v>316</v>
      </c>
      <c r="B42" s="12" t="s">
        <v>333</v>
      </c>
      <c r="C42" s="39" t="s">
        <v>119</v>
      </c>
      <c r="D42" s="39">
        <v>2.5</v>
      </c>
      <c r="E42" s="39" t="s">
        <v>196</v>
      </c>
      <c r="F42" s="39">
        <v>100</v>
      </c>
      <c r="G42" s="39" t="s">
        <v>196</v>
      </c>
      <c r="H42" s="40">
        <f t="shared" ref="H42:H43" si="3">F42*D42</f>
        <v>250</v>
      </c>
      <c r="I42" s="94">
        <v>1326</v>
      </c>
    </row>
    <row r="43" spans="1:9" ht="14.4">
      <c r="A43" s="39">
        <v>317</v>
      </c>
      <c r="B43" s="12" t="s">
        <v>333</v>
      </c>
      <c r="C43" s="39" t="s">
        <v>119</v>
      </c>
      <c r="D43" s="39">
        <v>2.5</v>
      </c>
      <c r="E43" s="39" t="s">
        <v>196</v>
      </c>
      <c r="F43" s="39">
        <v>150</v>
      </c>
      <c r="G43" s="39" t="s">
        <v>196</v>
      </c>
      <c r="H43" s="40">
        <f t="shared" si="3"/>
        <v>375</v>
      </c>
      <c r="I43" s="95"/>
    </row>
    <row r="44" spans="1:9" ht="14.4">
      <c r="A44" s="60"/>
      <c r="B44" s="58"/>
      <c r="C44" s="58"/>
      <c r="D44" s="58"/>
      <c r="E44" s="58"/>
      <c r="F44" s="58"/>
      <c r="G44" s="58"/>
      <c r="H44" s="58"/>
      <c r="I44" s="91">
        <f>SUM(H53,H52,H58)</f>
        <v>5150</v>
      </c>
    </row>
    <row r="45" spans="1:9" ht="14.4">
      <c r="A45" s="44">
        <v>318</v>
      </c>
      <c r="B45" s="44" t="s">
        <v>81</v>
      </c>
      <c r="C45" s="44" t="s">
        <v>119</v>
      </c>
      <c r="D45" s="44">
        <v>0.85</v>
      </c>
      <c r="E45" s="44" t="s">
        <v>196</v>
      </c>
      <c r="F45" s="46">
        <v>303.13</v>
      </c>
      <c r="G45" s="47">
        <f>F45*D45</f>
        <v>257.66050000000001</v>
      </c>
      <c r="H45" s="40"/>
      <c r="I45" s="92"/>
    </row>
    <row r="46" spans="1:9" ht="14.4">
      <c r="A46" s="41">
        <v>320</v>
      </c>
      <c r="B46" s="41" t="s">
        <v>81</v>
      </c>
      <c r="C46" s="41" t="s">
        <v>119</v>
      </c>
      <c r="D46" s="41">
        <v>2.2999999999999998</v>
      </c>
      <c r="E46" s="41" t="s">
        <v>196</v>
      </c>
      <c r="F46" s="41" t="s">
        <v>334</v>
      </c>
      <c r="G46" s="41" t="s">
        <v>335</v>
      </c>
      <c r="H46" s="40"/>
      <c r="I46" s="92"/>
    </row>
    <row r="47" spans="1:9" ht="14.4">
      <c r="A47" s="39"/>
      <c r="B47" s="13"/>
      <c r="C47" s="39"/>
      <c r="D47" s="40"/>
      <c r="E47" s="40"/>
      <c r="F47" s="40"/>
      <c r="G47" s="40"/>
      <c r="H47" s="40"/>
      <c r="I47" s="92"/>
    </row>
    <row r="48" spans="1:9" ht="14.4">
      <c r="A48" s="41">
        <v>322</v>
      </c>
      <c r="B48" s="36" t="s">
        <v>325</v>
      </c>
      <c r="C48" s="41" t="s">
        <v>119</v>
      </c>
      <c r="D48" s="41">
        <v>0.6</v>
      </c>
      <c r="E48" s="41" t="s">
        <v>196</v>
      </c>
      <c r="F48" s="41">
        <v>310</v>
      </c>
      <c r="G48" s="43">
        <f>F48*D48</f>
        <v>186</v>
      </c>
      <c r="H48" s="40">
        <v>186</v>
      </c>
      <c r="I48" s="93"/>
    </row>
    <row r="49" spans="1:9" ht="14.4">
      <c r="A49" s="72">
        <v>324</v>
      </c>
      <c r="B49" s="70" t="s">
        <v>376</v>
      </c>
      <c r="C49" s="70" t="s">
        <v>119</v>
      </c>
      <c r="D49" s="72">
        <v>4.5</v>
      </c>
      <c r="E49" s="70" t="s">
        <v>196</v>
      </c>
      <c r="F49" s="72">
        <v>120</v>
      </c>
      <c r="G49" s="73" t="s">
        <v>196</v>
      </c>
      <c r="H49" s="40">
        <v>540</v>
      </c>
      <c r="I49" s="49"/>
    </row>
    <row r="50" spans="1:9" ht="14.4">
      <c r="A50" s="72">
        <v>324</v>
      </c>
      <c r="B50" s="70" t="s">
        <v>376</v>
      </c>
      <c r="C50" s="70" t="s">
        <v>119</v>
      </c>
      <c r="D50" s="70">
        <v>2</v>
      </c>
      <c r="E50" s="70" t="s">
        <v>378</v>
      </c>
      <c r="F50" s="70">
        <v>15</v>
      </c>
      <c r="G50" s="70" t="s">
        <v>377</v>
      </c>
      <c r="H50" s="40">
        <v>600</v>
      </c>
    </row>
    <row r="51" spans="1:9" ht="14.4">
      <c r="A51" s="62" t="s">
        <v>336</v>
      </c>
      <c r="B51" s="58"/>
      <c r="C51" s="58"/>
      <c r="D51" s="58"/>
      <c r="E51" s="58"/>
      <c r="F51" s="58"/>
      <c r="G51" s="58"/>
      <c r="H51" s="58"/>
      <c r="I51" s="40"/>
    </row>
    <row r="52" spans="1:9" ht="15" customHeight="1">
      <c r="A52" s="39">
        <v>304</v>
      </c>
      <c r="B52" s="39" t="s">
        <v>26</v>
      </c>
      <c r="C52" s="39" t="s">
        <v>337</v>
      </c>
      <c r="D52" s="39">
        <v>50</v>
      </c>
      <c r="E52" s="39" t="s">
        <v>196</v>
      </c>
      <c r="F52" s="39">
        <v>100</v>
      </c>
      <c r="G52" s="40"/>
      <c r="H52" s="40">
        <f t="shared" ref="H52:H53" si="4">F52*D52</f>
        <v>5000</v>
      </c>
      <c r="I52" s="40"/>
    </row>
    <row r="53" spans="1:9" ht="15" customHeight="1">
      <c r="A53" s="39">
        <v>305</v>
      </c>
      <c r="B53" s="39" t="s">
        <v>26</v>
      </c>
      <c r="C53" s="39" t="s">
        <v>337</v>
      </c>
      <c r="D53" s="39">
        <v>1.5</v>
      </c>
      <c r="E53" s="39" t="s">
        <v>196</v>
      </c>
      <c r="F53" s="39">
        <v>100</v>
      </c>
      <c r="G53" s="40"/>
      <c r="H53" s="40">
        <f t="shared" si="4"/>
        <v>150</v>
      </c>
      <c r="I53" s="40"/>
    </row>
    <row r="54" spans="1:9" ht="15" customHeight="1">
      <c r="A54" s="39">
        <v>306</v>
      </c>
      <c r="B54" s="39" t="s">
        <v>26</v>
      </c>
      <c r="C54" s="39" t="s">
        <v>337</v>
      </c>
      <c r="D54" s="39" t="s">
        <v>25</v>
      </c>
      <c r="E54" s="39" t="s">
        <v>196</v>
      </c>
      <c r="F54" s="39">
        <v>65</v>
      </c>
      <c r="G54" s="39" t="s">
        <v>196</v>
      </c>
      <c r="H54" s="39" t="s">
        <v>25</v>
      </c>
    </row>
    <row r="55" spans="1:9" ht="15" customHeight="1">
      <c r="A55" s="39">
        <v>310</v>
      </c>
      <c r="B55" s="39" t="s">
        <v>26</v>
      </c>
      <c r="C55" s="39" t="s">
        <v>337</v>
      </c>
      <c r="D55" s="39">
        <v>400</v>
      </c>
      <c r="E55" s="39" t="s">
        <v>196</v>
      </c>
      <c r="F55" s="39">
        <v>60</v>
      </c>
      <c r="G55" s="39" t="s">
        <v>196</v>
      </c>
      <c r="H55" s="40">
        <f>F55*D55</f>
        <v>24000</v>
      </c>
    </row>
    <row r="56" spans="1:9" ht="15" customHeight="1">
      <c r="A56" s="39">
        <v>324</v>
      </c>
      <c r="B56" s="54" t="s">
        <v>376</v>
      </c>
      <c r="C56" s="54" t="s">
        <v>337</v>
      </c>
      <c r="D56" s="39">
        <v>24</v>
      </c>
      <c r="E56" s="54" t="s">
        <v>196</v>
      </c>
      <c r="F56" s="39">
        <v>135</v>
      </c>
      <c r="G56" s="54" t="s">
        <v>196</v>
      </c>
      <c r="H56" s="40">
        <v>3240</v>
      </c>
    </row>
    <row r="57" spans="1:9" ht="15" customHeight="1">
      <c r="A57" s="39">
        <v>327</v>
      </c>
      <c r="B57" s="54" t="s">
        <v>386</v>
      </c>
      <c r="C57" s="54" t="s">
        <v>337</v>
      </c>
      <c r="D57" s="54" t="s">
        <v>25</v>
      </c>
      <c r="E57" s="54" t="s">
        <v>25</v>
      </c>
      <c r="F57" s="54">
        <v>10</v>
      </c>
      <c r="G57" s="54" t="s">
        <v>196</v>
      </c>
      <c r="H57" s="78"/>
    </row>
    <row r="58" spans="1:9" ht="15" customHeight="1">
      <c r="A58" s="39">
        <v>329</v>
      </c>
      <c r="B58" s="54" t="s">
        <v>449</v>
      </c>
      <c r="C58" s="54" t="s">
        <v>337</v>
      </c>
      <c r="D58" s="54" t="s">
        <v>25</v>
      </c>
      <c r="E58" s="54" t="s">
        <v>25</v>
      </c>
      <c r="F58" s="54">
        <v>10</v>
      </c>
      <c r="G58" s="54" t="s">
        <v>196</v>
      </c>
      <c r="H58" s="78"/>
    </row>
    <row r="59" spans="1:9" ht="15" customHeight="1">
      <c r="A59" s="63"/>
      <c r="B59" s="58"/>
      <c r="C59" s="58"/>
      <c r="D59" s="58"/>
      <c r="E59" s="58"/>
      <c r="F59" s="58"/>
      <c r="G59" s="58"/>
      <c r="H59" s="58"/>
    </row>
    <row r="60" spans="1:9" ht="15" customHeight="1">
      <c r="A60" s="48">
        <v>323</v>
      </c>
      <c r="B60" s="13" t="s">
        <v>325</v>
      </c>
      <c r="C60" s="39" t="s">
        <v>337</v>
      </c>
      <c r="D60" s="48" t="s">
        <v>25</v>
      </c>
      <c r="E60" s="48" t="s">
        <v>25</v>
      </c>
      <c r="F60" s="48" t="s">
        <v>25</v>
      </c>
      <c r="G60" s="48" t="s">
        <v>25</v>
      </c>
      <c r="H60" s="49"/>
    </row>
    <row r="61" spans="1:9" ht="15" customHeight="1">
      <c r="A61" s="64" t="s">
        <v>338</v>
      </c>
    </row>
    <row r="62" spans="1:9" ht="15" customHeight="1">
      <c r="A62" s="39">
        <v>304</v>
      </c>
      <c r="B62" s="39" t="s">
        <v>26</v>
      </c>
      <c r="C62" s="39" t="s">
        <v>121</v>
      </c>
      <c r="D62" s="39" t="s">
        <v>25</v>
      </c>
      <c r="E62" s="39" t="s">
        <v>339</v>
      </c>
      <c r="F62" s="39">
        <v>5</v>
      </c>
      <c r="G62" s="39" t="s">
        <v>339</v>
      </c>
      <c r="H62" s="40"/>
    </row>
    <row r="63" spans="1:9" ht="15" customHeight="1">
      <c r="A63" s="54">
        <v>324</v>
      </c>
      <c r="B63" s="54" t="s">
        <v>376</v>
      </c>
      <c r="C63" s="54" t="s">
        <v>121</v>
      </c>
      <c r="D63" s="54">
        <v>9</v>
      </c>
      <c r="E63" s="54" t="s">
        <v>260</v>
      </c>
      <c r="F63" s="54">
        <v>85</v>
      </c>
      <c r="G63" s="54" t="s">
        <v>260</v>
      </c>
      <c r="H63" s="54">
        <v>765</v>
      </c>
    </row>
    <row r="64" spans="1:9" ht="15" customHeight="1">
      <c r="A64" s="54">
        <v>324</v>
      </c>
      <c r="B64" s="54" t="s">
        <v>376</v>
      </c>
      <c r="C64" s="54" t="s">
        <v>121</v>
      </c>
      <c r="D64" s="54">
        <v>2</v>
      </c>
      <c r="E64" s="54" t="s">
        <v>196</v>
      </c>
      <c r="F64" s="54">
        <v>120</v>
      </c>
      <c r="G64" s="54" t="s">
        <v>196</v>
      </c>
      <c r="H64" s="54">
        <v>240</v>
      </c>
    </row>
    <row r="65" spans="1:8" ht="15" customHeight="1">
      <c r="A65" s="54">
        <v>327</v>
      </c>
      <c r="B65" s="54" t="s">
        <v>386</v>
      </c>
      <c r="C65" s="54" t="s">
        <v>121</v>
      </c>
      <c r="D65" s="54" t="s">
        <v>25</v>
      </c>
      <c r="E65" s="54" t="s">
        <v>25</v>
      </c>
      <c r="F65" s="54">
        <v>12</v>
      </c>
      <c r="G65" s="54" t="s">
        <v>260</v>
      </c>
      <c r="H65" s="81"/>
    </row>
    <row r="67" spans="1:8" ht="15" customHeight="1">
      <c r="A67" s="96" t="s">
        <v>422</v>
      </c>
      <c r="B67" s="97"/>
    </row>
    <row r="68" spans="1:8" ht="15" customHeight="1">
      <c r="A68" s="39">
        <v>327</v>
      </c>
      <c r="B68" s="54" t="s">
        <v>386</v>
      </c>
      <c r="C68" s="54" t="s">
        <v>417</v>
      </c>
      <c r="D68" s="39" t="s">
        <v>25</v>
      </c>
      <c r="E68" s="54" t="s">
        <v>25</v>
      </c>
      <c r="F68" s="39">
        <v>60</v>
      </c>
      <c r="G68" s="54" t="s">
        <v>196</v>
      </c>
      <c r="H68" s="78"/>
    </row>
    <row r="70" spans="1:8" ht="15" customHeight="1">
      <c r="A70" s="96" t="s">
        <v>421</v>
      </c>
      <c r="B70" s="97"/>
    </row>
    <row r="71" spans="1:8" ht="15" customHeight="1">
      <c r="A71" s="39">
        <v>327</v>
      </c>
      <c r="B71" s="54" t="s">
        <v>386</v>
      </c>
      <c r="C71" s="54" t="s">
        <v>418</v>
      </c>
      <c r="D71" s="39" t="s">
        <v>25</v>
      </c>
      <c r="E71" s="54" t="s">
        <v>25</v>
      </c>
      <c r="F71" s="39">
        <v>10</v>
      </c>
      <c r="G71" s="54" t="s">
        <v>196</v>
      </c>
      <c r="H71" s="78"/>
    </row>
    <row r="72" spans="1:8" ht="15" customHeight="1">
      <c r="A72" s="39">
        <v>329</v>
      </c>
      <c r="B72" s="54" t="s">
        <v>449</v>
      </c>
      <c r="C72" s="54" t="s">
        <v>418</v>
      </c>
      <c r="D72" s="39" t="s">
        <v>25</v>
      </c>
      <c r="E72" s="54" t="s">
        <v>25</v>
      </c>
      <c r="F72" s="39">
        <v>20</v>
      </c>
      <c r="G72" s="54" t="s">
        <v>196</v>
      </c>
      <c r="H72" s="78"/>
    </row>
    <row r="74" spans="1:8" ht="15" customHeight="1">
      <c r="A74" s="96" t="s">
        <v>423</v>
      </c>
      <c r="B74" s="97"/>
    </row>
    <row r="75" spans="1:8" ht="15" customHeight="1">
      <c r="A75" s="39">
        <v>327</v>
      </c>
      <c r="B75" s="54" t="s">
        <v>386</v>
      </c>
      <c r="C75" s="54" t="s">
        <v>419</v>
      </c>
      <c r="D75" s="39" t="s">
        <v>25</v>
      </c>
      <c r="E75" s="54" t="s">
        <v>25</v>
      </c>
      <c r="F75" s="39">
        <v>5</v>
      </c>
      <c r="G75" s="54" t="s">
        <v>424</v>
      </c>
      <c r="H75" s="78"/>
    </row>
    <row r="77" spans="1:8" ht="15" customHeight="1">
      <c r="A77" s="96" t="s">
        <v>450</v>
      </c>
      <c r="B77" s="97"/>
    </row>
    <row r="78" spans="1:8" ht="15" customHeight="1">
      <c r="A78" s="39">
        <v>329</v>
      </c>
      <c r="B78" s="54" t="s">
        <v>449</v>
      </c>
      <c r="C78" s="54" t="s">
        <v>441</v>
      </c>
      <c r="D78" s="39" t="s">
        <v>25</v>
      </c>
      <c r="E78" s="54" t="s">
        <v>25</v>
      </c>
      <c r="F78" s="39">
        <v>4</v>
      </c>
      <c r="G78" s="54" t="s">
        <v>260</v>
      </c>
      <c r="H78" s="78"/>
    </row>
    <row r="80" spans="1:8" ht="15" customHeight="1">
      <c r="A80" s="96" t="s">
        <v>451</v>
      </c>
      <c r="B80" s="97"/>
    </row>
    <row r="81" spans="1:8" ht="15" customHeight="1">
      <c r="A81" s="39">
        <v>329</v>
      </c>
      <c r="B81" s="54" t="s">
        <v>449</v>
      </c>
      <c r="C81" s="54" t="s">
        <v>442</v>
      </c>
      <c r="D81" s="39" t="s">
        <v>25</v>
      </c>
      <c r="E81" s="54" t="s">
        <v>25</v>
      </c>
      <c r="F81" s="39">
        <v>4</v>
      </c>
      <c r="G81" s="54" t="s">
        <v>260</v>
      </c>
      <c r="H81" s="78"/>
    </row>
    <row r="83" spans="1:8" ht="15" customHeight="1">
      <c r="A83" s="96" t="s">
        <v>452</v>
      </c>
      <c r="B83" s="97"/>
    </row>
    <row r="84" spans="1:8" ht="15" customHeight="1">
      <c r="A84" s="39">
        <v>329</v>
      </c>
      <c r="B84" s="54" t="s">
        <v>449</v>
      </c>
      <c r="C84" s="54" t="s">
        <v>443</v>
      </c>
      <c r="D84" s="39" t="s">
        <v>25</v>
      </c>
      <c r="E84" s="54" t="s">
        <v>25</v>
      </c>
      <c r="F84" s="39">
        <v>4</v>
      </c>
      <c r="G84" s="54" t="s">
        <v>260</v>
      </c>
      <c r="H84" s="78"/>
    </row>
    <row r="86" spans="1:8" ht="15" customHeight="1">
      <c r="A86" s="96" t="s">
        <v>453</v>
      </c>
      <c r="B86" s="97"/>
    </row>
    <row r="87" spans="1:8" ht="15" customHeight="1">
      <c r="A87" s="39">
        <v>329</v>
      </c>
      <c r="B87" s="54" t="s">
        <v>449</v>
      </c>
      <c r="C87" s="54" t="s">
        <v>444</v>
      </c>
      <c r="D87" s="39" t="s">
        <v>25</v>
      </c>
      <c r="E87" s="54" t="s">
        <v>25</v>
      </c>
      <c r="F87" s="39">
        <v>4</v>
      </c>
      <c r="G87" s="54" t="s">
        <v>260</v>
      </c>
      <c r="H87" s="78"/>
    </row>
    <row r="89" spans="1:8" ht="15" customHeight="1">
      <c r="A89" s="96" t="s">
        <v>401</v>
      </c>
      <c r="B89" s="97"/>
    </row>
    <row r="90" spans="1:8" ht="15" customHeight="1">
      <c r="A90" s="39">
        <v>329</v>
      </c>
      <c r="B90" s="54" t="s">
        <v>449</v>
      </c>
      <c r="C90" s="54" t="s">
        <v>395</v>
      </c>
      <c r="D90" s="39" t="s">
        <v>25</v>
      </c>
      <c r="E90" s="54" t="s">
        <v>25</v>
      </c>
      <c r="F90" s="39">
        <v>4</v>
      </c>
      <c r="G90" s="54" t="s">
        <v>260</v>
      </c>
      <c r="H90" s="78"/>
    </row>
    <row r="92" spans="1:8" ht="15" customHeight="1">
      <c r="A92" s="96" t="s">
        <v>454</v>
      </c>
      <c r="B92" s="97"/>
    </row>
    <row r="93" spans="1:8" ht="15" customHeight="1">
      <c r="A93" s="39">
        <v>329</v>
      </c>
      <c r="B93" s="54" t="s">
        <v>449</v>
      </c>
      <c r="C93" s="54" t="s">
        <v>157</v>
      </c>
      <c r="D93" s="39" t="s">
        <v>25</v>
      </c>
      <c r="E93" s="54" t="s">
        <v>25</v>
      </c>
      <c r="F93" s="39">
        <v>20</v>
      </c>
      <c r="G93" s="54" t="s">
        <v>196</v>
      </c>
      <c r="H93" s="78"/>
    </row>
  </sheetData>
  <mergeCells count="23">
    <mergeCell ref="A92:B92"/>
    <mergeCell ref="A77:B77"/>
    <mergeCell ref="A80:B80"/>
    <mergeCell ref="A83:B83"/>
    <mergeCell ref="A86:B86"/>
    <mergeCell ref="A89:B89"/>
    <mergeCell ref="A1:I1"/>
    <mergeCell ref="I4:I6"/>
    <mergeCell ref="A7:I7"/>
    <mergeCell ref="I8:I9"/>
    <mergeCell ref="A10:I10"/>
    <mergeCell ref="I11:I12"/>
    <mergeCell ref="A13:I13"/>
    <mergeCell ref="A3:I3"/>
    <mergeCell ref="I34:I36"/>
    <mergeCell ref="A21:B21"/>
    <mergeCell ref="I14:I19"/>
    <mergeCell ref="I20:I21"/>
    <mergeCell ref="I44:I48"/>
    <mergeCell ref="I42:I43"/>
    <mergeCell ref="A67:B67"/>
    <mergeCell ref="A70:B70"/>
    <mergeCell ref="A74:B7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2025-07-29T15:04:29Z</dcterms:created>
  <dcterms:modified xsi:type="dcterms:W3CDTF">2026-01-23T20:40:19Z</dcterms:modified>
</cp:coreProperties>
</file>