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D3D561C3-6040-4C8A-81E2-717C9B4F32D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42" i="4" l="1"/>
  <c r="I42" i="4"/>
  <c r="K41" i="4"/>
  <c r="I41" i="4"/>
  <c r="F31" i="3"/>
  <c r="E31" i="3"/>
  <c r="C31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<sst xmlns="http://schemas.openxmlformats.org/spreadsheetml/2006/main" count="1298" uniqueCount="451">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</sst>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70" zoomScaleNormal="70" workbookViewId="0">
      <pane xSplit="7" ySplit="2" topLeftCell="H4" activePane="bottomRight" state="frozen"/>
      <selection pane="topRight" activeCell="H1" sqref="H1"/>
      <selection pane="bottomLeft" activeCell="A3" sqref="A3"/>
      <selection pane="bottomRight" activeCell="F11" sqref="F11"/>
    </sheetView>
  </sheetViews>
  <sheetFormatPr defaultColWidth="12.6640625" defaultRowHeight="15" customHeight="1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77734375" customWidth="1"/>
    <col min="6" max="6" width="14.44140625" customWidth="1"/>
    <col min="7" max="7" width="12.77734375" customWidth="1"/>
    <col min="8" max="8" width="26.77734375" customWidth="1"/>
    <col min="9" max="9" width="26.5546875" customWidth="1"/>
    <col min="10" max="10" width="18.21875" customWidth="1"/>
    <col min="11" max="11" width="17.5546875" customWidth="1"/>
    <col min="12" max="12" width="21.77734375" customWidth="1"/>
    <col min="13" max="15" width="17.109375" customWidth="1"/>
    <col min="16" max="16" width="15.21875" customWidth="1"/>
    <col min="17" max="17" width="12" customWidth="1"/>
    <col min="18" max="18" width="8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6" ht="14.25" customHeight="1">
      <c r="A1" s="47" t="s">
        <v>0</v>
      </c>
      <c r="B1" s="48"/>
      <c r="C1" s="48"/>
      <c r="D1" s="48"/>
      <c r="E1" s="48"/>
      <c r="F1" s="48"/>
      <c r="G1" s="49"/>
      <c r="H1" s="50" t="s">
        <v>1</v>
      </c>
      <c r="I1" s="51"/>
      <c r="J1" s="51"/>
      <c r="K1" s="52"/>
      <c r="L1" s="50" t="s">
        <v>2</v>
      </c>
      <c r="M1" s="51"/>
      <c r="N1" s="51"/>
      <c r="O1" s="52"/>
      <c r="P1" s="50" t="s">
        <v>3</v>
      </c>
      <c r="Q1" s="51"/>
      <c r="R1" s="51"/>
      <c r="S1" s="51"/>
      <c r="T1" s="52"/>
      <c r="U1" s="53" t="s">
        <v>4</v>
      </c>
      <c r="V1" s="51"/>
      <c r="W1" s="51"/>
      <c r="X1" s="51"/>
      <c r="Y1" s="51"/>
      <c r="Z1" s="52"/>
    </row>
    <row r="2" spans="1:26" ht="54.6" customHeight="1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6" s="20" customFormat="1" ht="67.5" customHeight="1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6" s="20" customFormat="1" ht="73.2" customHeight="1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6" ht="14.25" customHeight="1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6" ht="14.25" customHeight="1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6" ht="137.4" customHeight="1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6" ht="14.25" customHeight="1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6" ht="14.25" customHeight="1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6" ht="86.4" customHeight="1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6" s="20" customFormat="1" ht="97.2" customHeight="1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6" s="15" customFormat="1" ht="14.25" customHeight="1">
      <c r="A12" s="24">
        <v>210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s="20" customFormat="1" ht="79.8" customHeight="1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6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F32" sqref="F32"/>
    </sheetView>
  </sheetViews>
  <sheetFormatPr defaultColWidth="12.6640625" defaultRowHeight="15" customHeight="1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21875" customWidth="1"/>
    <col min="10" max="10" width="24" customWidth="1"/>
    <col min="11" max="26" width="8.6640625" customWidth="1"/>
  </cols>
  <sheetData>
    <row r="1" spans="1:26" ht="83.4" customHeight="1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15" customFormat="1" ht="14.25" customHeight="1">
      <c r="A29" s="24">
        <v>210</v>
      </c>
      <c r="B29" s="24"/>
      <c r="C29" s="24"/>
      <c r="D29" s="24"/>
      <c r="E29" s="24"/>
      <c r="F29" s="24"/>
      <c r="G29" s="24"/>
      <c r="H29" s="24"/>
      <c r="I29" s="24"/>
      <c r="J29" s="24"/>
    </row>
    <row r="30" spans="1:10" s="20" customFormat="1" ht="100.2" customHeight="1">
      <c r="A30" s="25">
        <v>211</v>
      </c>
      <c r="B30" s="37" t="s">
        <v>50</v>
      </c>
      <c r="C30" s="28" t="s">
        <v>447</v>
      </c>
      <c r="D30" s="25" t="s">
        <v>33</v>
      </c>
      <c r="E30" s="25" t="s">
        <v>33</v>
      </c>
      <c r="F30" s="25" t="s">
        <v>33</v>
      </c>
      <c r="G30" s="25" t="s">
        <v>33</v>
      </c>
      <c r="H30" s="25" t="s">
        <v>33</v>
      </c>
      <c r="I30" s="25" t="s">
        <v>33</v>
      </c>
      <c r="J30" s="25" t="s">
        <v>33</v>
      </c>
    </row>
    <row r="31" spans="1:10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workbookViewId="0">
      <pane xSplit="1" ySplit="1" topLeftCell="B18" activePane="bottomRight" state="frozen"/>
      <selection pane="topRight" activeCell="B1" sqref="B1"/>
      <selection pane="bottomLeft" activeCell="A2" sqref="A2"/>
      <selection pane="bottomRight" activeCell="E35" sqref="E35"/>
    </sheetView>
  </sheetViews>
  <sheetFormatPr defaultColWidth="12.6640625" defaultRowHeight="15" customHeight="1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8" customHeight="1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>
      <c r="A2" s="56" t="s">
        <v>29</v>
      </c>
      <c r="B2" s="58" t="s">
        <v>50</v>
      </c>
      <c r="C2" s="21">
        <v>20</v>
      </c>
      <c r="D2" s="22" t="s">
        <v>361</v>
      </c>
      <c r="E2" s="19">
        <v>65</v>
      </c>
      <c r="F2" s="19">
        <v>65</v>
      </c>
      <c r="G2" s="54" t="s">
        <v>33</v>
      </c>
      <c r="H2" s="54" t="s">
        <v>247</v>
      </c>
      <c r="I2" s="54" t="s">
        <v>33</v>
      </c>
      <c r="J2" s="54"/>
      <c r="K2" s="54" t="s">
        <v>248</v>
      </c>
      <c r="L2" s="54" t="s">
        <v>249</v>
      </c>
      <c r="M2" s="54" t="s">
        <v>33</v>
      </c>
      <c r="N2" s="54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>
      <c r="A3" s="57"/>
      <c r="B3" s="59"/>
      <c r="C3" s="21">
        <v>10</v>
      </c>
      <c r="D3" s="22" t="s">
        <v>362</v>
      </c>
      <c r="E3" s="19">
        <v>55</v>
      </c>
      <c r="F3" s="19">
        <v>55</v>
      </c>
      <c r="G3" s="55"/>
      <c r="H3" s="55"/>
      <c r="I3" s="55"/>
      <c r="J3" s="55"/>
      <c r="K3" s="55"/>
      <c r="L3" s="55"/>
      <c r="M3" s="55"/>
      <c r="N3" s="55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15" customFormat="1" ht="14.25" customHeight="1">
      <c r="A30" s="24">
        <v>210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</row>
    <row r="31" spans="1:26" s="20" customFormat="1" ht="14.25" customHeight="1">
      <c r="A31" s="46">
        <v>211</v>
      </c>
      <c r="B31" s="25" t="s">
        <v>50</v>
      </c>
      <c r="C31" s="25">
        <f>13000*60</f>
        <v>780000</v>
      </c>
      <c r="D31" s="25" t="s">
        <v>247</v>
      </c>
      <c r="E31" s="25">
        <f>300/60</f>
        <v>5</v>
      </c>
      <c r="F31" s="32">
        <f>500/60</f>
        <v>8.3333333333333339</v>
      </c>
      <c r="G31" s="25" t="s">
        <v>33</v>
      </c>
      <c r="H31" s="25" t="s">
        <v>33</v>
      </c>
      <c r="I31" s="25" t="s">
        <v>33</v>
      </c>
      <c r="J31" s="25" t="s">
        <v>33</v>
      </c>
      <c r="K31" s="25" t="s">
        <v>33</v>
      </c>
      <c r="L31" s="25"/>
      <c r="M31" s="25"/>
      <c r="N31" s="25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zoomScaleNormal="100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H41" sqref="H41"/>
    </sheetView>
  </sheetViews>
  <sheetFormatPr defaultColWidth="12.6640625" defaultRowHeight="15" customHeight="1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21875" customWidth="1"/>
    <col min="8" max="8" width="15.33203125" customWidth="1"/>
    <col min="9" max="9" width="14.5546875" customWidth="1"/>
    <col min="10" max="10" width="12.88671875" customWidth="1"/>
    <col min="11" max="11" width="12.2187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21875" customWidth="1"/>
    <col min="18" max="26" width="8.6640625" customWidth="1"/>
  </cols>
  <sheetData>
    <row r="1" spans="1:26" ht="71.400000000000006" customHeight="1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8" customHeight="1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8" customHeight="1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8" customHeight="1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8" customHeight="1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8" customHeight="1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8" customHeight="1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15" customFormat="1" ht="49.2" customHeight="1">
      <c r="A41" s="37">
        <v>211</v>
      </c>
      <c r="B41" s="37" t="s">
        <v>50</v>
      </c>
      <c r="C41" s="37" t="s">
        <v>310</v>
      </c>
      <c r="D41" s="37" t="s">
        <v>301</v>
      </c>
      <c r="E41" s="37" t="s">
        <v>33</v>
      </c>
      <c r="F41" s="39" t="s">
        <v>450</v>
      </c>
      <c r="G41" s="37" t="s">
        <v>33</v>
      </c>
      <c r="H41" s="37" t="s">
        <v>33</v>
      </c>
      <c r="I41" s="37">
        <f>6500*9</f>
        <v>58500</v>
      </c>
      <c r="J41" s="37" t="s">
        <v>247</v>
      </c>
      <c r="K41" s="43">
        <f t="shared" ref="K41:K42" si="1">400/60</f>
        <v>6.666666666666667</v>
      </c>
      <c r="L41" s="37" t="s">
        <v>33</v>
      </c>
      <c r="M41" s="37" t="s">
        <v>33</v>
      </c>
      <c r="N41" s="37" t="s">
        <v>33</v>
      </c>
      <c r="O41" s="37" t="s">
        <v>33</v>
      </c>
      <c r="P41" s="37" t="s">
        <v>33</v>
      </c>
      <c r="Q41" s="37" t="s">
        <v>33</v>
      </c>
      <c r="R41" s="38"/>
    </row>
    <row r="42" spans="1:18" s="15" customFormat="1" ht="43.2" customHeight="1">
      <c r="A42" s="37">
        <v>211</v>
      </c>
      <c r="B42" s="37" t="s">
        <v>448</v>
      </c>
      <c r="C42" s="37" t="s">
        <v>310</v>
      </c>
      <c r="D42" s="37" t="s">
        <v>301</v>
      </c>
      <c r="E42" s="37" t="s">
        <v>33</v>
      </c>
      <c r="F42" s="39" t="s">
        <v>449</v>
      </c>
      <c r="G42" s="37" t="s">
        <v>33</v>
      </c>
      <c r="H42" s="37" t="s">
        <v>33</v>
      </c>
      <c r="I42" s="37">
        <f>65000*0.1</f>
        <v>6500</v>
      </c>
      <c r="J42" s="37" t="s">
        <v>247</v>
      </c>
      <c r="K42" s="43">
        <f t="shared" si="1"/>
        <v>6.666666666666667</v>
      </c>
      <c r="L42" s="37" t="s">
        <v>33</v>
      </c>
      <c r="M42" s="37" t="s">
        <v>33</v>
      </c>
      <c r="N42" s="37" t="s">
        <v>33</v>
      </c>
      <c r="O42" s="37" t="s">
        <v>33</v>
      </c>
      <c r="P42" s="37" t="s">
        <v>33</v>
      </c>
      <c r="Q42" s="37" t="s">
        <v>33</v>
      </c>
      <c r="R42" s="38"/>
    </row>
    <row r="43" spans="1:18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8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8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8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8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2025-12-23T16:05:14Z</dcterms:modified>
</cp:coreProperties>
</file>