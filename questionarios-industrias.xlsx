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-bancodedados\formularios-contas-alphas\"/>
    </mc:Choice>
  </mc:AlternateContent>
  <xr:revisionPtr revIDLastSave="0" documentId="13_ncr:1_{250835D4-39A3-455F-A893-B4AB907208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DÚSTRIAS" sheetId="1" r:id="rId1"/>
    <sheet name="TABELA 2.3" sheetId="2" r:id="rId2"/>
    <sheet name="TABELA 3" sheetId="3" r:id="rId3"/>
    <sheet name="TABELA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SLTqJuV/Slho+fGpn1VMrj9xLv0F2M7PD0Yp6yhs0+Y="/>
    </ext>
  </extLst>
</workbook>
</file>

<file path=xl/calcChain.xml><?xml version="1.0" encoding="utf-8"?>
<calcChain xmlns="http://schemas.openxmlformats.org/spreadsheetml/2006/main">
  <c r="K48" i="4" l="1"/>
  <c r="I48" i="4"/>
  <c r="K47" i="4"/>
  <c r="I47" i="4"/>
  <c r="F33" i="3"/>
  <c r="E33" i="3"/>
  <c r="C33" i="3"/>
  <c r="F28" i="3"/>
  <c r="E28" i="3"/>
  <c r="G17" i="3"/>
  <c r="C17" i="3"/>
  <c r="G15" i="3"/>
  <c r="C15" i="3"/>
  <c r="G14" i="3"/>
  <c r="C14" i="3"/>
  <c r="F29" i="3"/>
  <c r="E29" i="3"/>
  <c r="Q9" i="4"/>
  <c r="Q8" i="4"/>
  <c r="Q7" i="4"/>
  <c r="Q6" i="4"/>
  <c r="Q5" i="4"/>
  <c r="F8" i="3"/>
  <c r="E8" i="3"/>
  <c r="C8" i="3"/>
  <c r="F7" i="3"/>
  <c r="E7" i="3"/>
  <c r="C7" i="3"/>
  <c r="F6" i="3"/>
  <c r="E6" i="3"/>
  <c r="C6" i="3"/>
  <c r="F5" i="3"/>
  <c r="E5" i="3"/>
  <c r="C5" i="3"/>
  <c r="F4" i="3"/>
  <c r="E4" i="3"/>
  <c r="C4" i="3"/>
  <c r="U4" i="1"/>
  <c r="K28" i="4"/>
  <c r="I28" i="4"/>
  <c r="K27" i="4"/>
  <c r="K26" i="4"/>
  <c r="I26" i="4"/>
  <c r="K15" i="4"/>
  <c r="I15" i="4"/>
  <c r="O14" i="4"/>
  <c r="K13" i="4"/>
  <c r="K12" i="4"/>
  <c r="I12" i="4"/>
  <c r="M26" i="3"/>
  <c r="M25" i="3"/>
  <c r="F22" i="3"/>
  <c r="E22" i="3"/>
  <c r="C22" i="3"/>
  <c r="J21" i="3"/>
  <c r="I21" i="3"/>
  <c r="C21" i="3"/>
  <c r="M8" i="1"/>
</calcChain>
</file>

<file path=xl/sharedStrings.xml><?xml version="1.0" encoding="utf-8"?>
<sst xmlns="http://schemas.openxmlformats.org/spreadsheetml/2006/main" count="1375" uniqueCount="486">
  <si>
    <t>IDENTIFICAÇÃO DO ENTREVISTADOR (A)</t>
  </si>
  <si>
    <t>ORIGEM E DINÂMICA DA ATIVIDADE</t>
  </si>
  <si>
    <t>FORNECIMENTO DOS PRODUTOS E ARRANJOS INSTITUCIONAIS</t>
  </si>
  <si>
    <r>
      <rPr>
        <b/>
        <sz val="11"/>
        <color theme="1"/>
        <rFont val="Aptos Narrow"/>
        <family val="2"/>
      </rPr>
      <t xml:space="preserve">VENDAS DOS PRODUTOS </t>
    </r>
    <r>
      <rPr>
        <b/>
        <i/>
        <sz val="11"/>
        <color theme="1"/>
        <rFont val="Aptos Narrow"/>
        <family val="2"/>
      </rPr>
      <t>IN-NATURA</t>
    </r>
    <r>
      <rPr>
        <b/>
        <sz val="11"/>
        <color theme="1"/>
        <rFont val="Aptos Narrow"/>
        <family val="2"/>
      </rPr>
      <t xml:space="preserve"> OU BENEFICIADOS</t>
    </r>
  </si>
  <si>
    <t>MÃO DE OBRA E INFRAESTRUTURA</t>
  </si>
  <si>
    <t>Nº Questionário</t>
  </si>
  <si>
    <t>Data da entrevista</t>
  </si>
  <si>
    <t>Entrevistador(a)</t>
  </si>
  <si>
    <t>Nome e Apelido</t>
  </si>
  <si>
    <t>Nome do estabelecimento/agroindústria</t>
  </si>
  <si>
    <t>CNPJ</t>
  </si>
  <si>
    <t>Localização</t>
  </si>
  <si>
    <t>Quais produdos são comercializados?</t>
  </si>
  <si>
    <t>Desses produtos, quais utilizam castanha/fármacos como insumo?</t>
  </si>
  <si>
    <t>Produtos in natura ou processados?</t>
  </si>
  <si>
    <t>Fornecedores pertencem a alguma organização? Se sim, qual?</t>
  </si>
  <si>
    <t>Conversão das unidades de medidas utilizadas</t>
  </si>
  <si>
    <t xml:space="preserve">Quanto é entregue por produto por vez? </t>
  </si>
  <si>
    <t>Contínuo ou sazonal?</t>
  </si>
  <si>
    <t>Há contratos formais ou verbais com fornecedores?</t>
  </si>
  <si>
    <t>Vende para programas como PAA/PNAE/ONG?</t>
  </si>
  <si>
    <t xml:space="preserve">Por produto vendido, quem fornece a embalagem? </t>
  </si>
  <si>
    <t>Qual o custo da embalagem por unidade ?</t>
  </si>
  <si>
    <t xml:space="preserve">Quantas pessoas trabalham no estabelecimento?  </t>
  </si>
  <si>
    <t>Qtos turnos?</t>
  </si>
  <si>
    <t xml:space="preserve">Há cooperadores ou empregados? </t>
  </si>
  <si>
    <t>Há trabalhadores temporários?</t>
  </si>
  <si>
    <t>Quais períodos?</t>
  </si>
  <si>
    <t>Equipamentos utilizados foram adquiridos de qual forma? (recurso próprio, apoio de projeto, política pública)</t>
  </si>
  <si>
    <t>201</t>
  </si>
  <si>
    <t xml:space="preserve">Lissandra </t>
  </si>
  <si>
    <t>Claúdio  e Valéria</t>
  </si>
  <si>
    <t>Deveras Amazônia</t>
  </si>
  <si>
    <t>-</t>
  </si>
  <si>
    <t>Santarém</t>
  </si>
  <si>
    <t>25 produtos: Geleias, conservas, licores e alimentos desidratados</t>
  </si>
  <si>
    <t>Castanha desidratada</t>
  </si>
  <si>
    <t>Não</t>
  </si>
  <si>
    <t>150 gramas - 28 reais</t>
  </si>
  <si>
    <t>Sazonal</t>
  </si>
  <si>
    <t>Acordo verbal</t>
  </si>
  <si>
    <t>Compra do Paraná</t>
  </si>
  <si>
    <t>2,60 a 2,80 a embalagem sem o rotulo. E mais 1 real que gastam com rotulos.</t>
  </si>
  <si>
    <t>6 pessoas</t>
  </si>
  <si>
    <t>EMPREGADOS</t>
  </si>
  <si>
    <t>Recurso próprio e por meio de editais</t>
  </si>
  <si>
    <t>Lissandra</t>
  </si>
  <si>
    <t>César</t>
  </si>
  <si>
    <t>Amazon Castanhas</t>
  </si>
  <si>
    <t>Castanha; Caju; Nozes; Sementes</t>
  </si>
  <si>
    <t>Castanha</t>
  </si>
  <si>
    <t>IN NATURA</t>
  </si>
  <si>
    <t>NÃO</t>
  </si>
  <si>
    <t>1 VEZ AO ANO</t>
  </si>
  <si>
    <t>SAZONAL</t>
  </si>
  <si>
    <t>VERBAIS</t>
  </si>
  <si>
    <t>SIM</t>
  </si>
  <si>
    <t>8h às 12h; 14h às 18h</t>
  </si>
  <si>
    <t>RECURSO PRÓPRIO</t>
  </si>
  <si>
    <t>José; Dulce; Mirelly</t>
  </si>
  <si>
    <t>Jocinelma Serrão</t>
  </si>
  <si>
    <t>COOMFLONA - Ecoloja Tapajós</t>
  </si>
  <si>
    <t>Oléo de andiroba, Oléo de Copaíba ; Mel e Artesanato</t>
  </si>
  <si>
    <t>Oléo de andiroba, Oléo de copaíba</t>
  </si>
  <si>
    <t>Processados</t>
  </si>
  <si>
    <t>Todos são cooperados da COOMFLONA, alguns que não</t>
  </si>
  <si>
    <t>Litro é Divido em ML</t>
  </si>
  <si>
    <t>Casa das Enbalagens</t>
  </si>
  <si>
    <t>15 reais a Dúzia, do vasilhame de plástico de diferentes tamanhos</t>
  </si>
  <si>
    <t>na cooperativa 310 cooperados, no setor não madereiros trabalham 3 cooperados</t>
  </si>
  <si>
    <t>Cooperados</t>
  </si>
  <si>
    <t>não</t>
  </si>
  <si>
    <t>Dulce, Lissandra; José</t>
  </si>
  <si>
    <t>Marinelson</t>
  </si>
  <si>
    <t>Amelias</t>
  </si>
  <si>
    <t>Belterra</t>
  </si>
  <si>
    <t>Oleo de andiroba, Oleo de copaiba; Mel, sabonete; Vela; incenso;; repelente; Pigmentos; biocosmeticos; creme facial,</t>
  </si>
  <si>
    <t>Óleo de andiroba, Mel; Óleo de Copaíba; Mel e sabonete</t>
  </si>
  <si>
    <t>andiroba= sementes in natura , benefeciam o óleo.  Copaíba= Oleo ja extraído bruto, não compram sementes</t>
  </si>
  <si>
    <t>Alguns fornecedores são da Cooperativas flona do tapajós</t>
  </si>
  <si>
    <t>1 L = 5 a ¨frascos de 50 ML</t>
  </si>
  <si>
    <t>Copaíba = 5 L por vez; andiroba e mel volumes variados</t>
  </si>
  <si>
    <t>Contratos Verbais,  se virar cooperativa firmam o acordo</t>
  </si>
  <si>
    <t>Sim</t>
  </si>
  <si>
    <t>Casa dos aromas , casa das velas; casa das embalagens</t>
  </si>
  <si>
    <t>Frascos de 50 ML = 4,50 a unidade; sacolinhas = 1,50 a unidade</t>
  </si>
  <si>
    <t xml:space="preserve">9 pessoas na linha de frente; </t>
  </si>
  <si>
    <t xml:space="preserve">Associados, não tem empregados; </t>
  </si>
  <si>
    <t xml:space="preserve"> temporarios são projetos</t>
  </si>
  <si>
    <t>Financiamentos e projetos não governamentais;</t>
  </si>
  <si>
    <t>Lissandra; José; Alanna; Lucas</t>
  </si>
  <si>
    <t>Bruna Maha; Melissa Silva</t>
  </si>
  <si>
    <t>MAHÀ</t>
  </si>
  <si>
    <t>Ufopa Tapajós</t>
  </si>
  <si>
    <t>Shampoo 4 tipos: Com oleo de castanha, buruti, Patauá, e andiroba; Condicionadores 8 tipos: Com combinações de Oléos e manteigas; mascara de tratamento capilar; ativador de cachos; Oléos vegetais puros : castanha, Buruti, Patauá; e andiroba</t>
  </si>
  <si>
    <t>Associação das amélias da amazonia; ASCOFER = associação de produtores Rurais</t>
  </si>
  <si>
    <t>Oléos comprados em L; manteiga comprada em KG</t>
  </si>
  <si>
    <t>Entregas Semestrais= 1-2 L de òleos , 1 KG de manteiga</t>
  </si>
  <si>
    <t>Acordos Verbais</t>
  </si>
  <si>
    <t>óleos: Litros para ML: 1 L = 1000 ML; Manteigas KG para G: 1 KG = 1000g</t>
  </si>
  <si>
    <t>Compradas na Spielpack (fora do pará)</t>
  </si>
  <si>
    <t>5,90 à 6,70 Unidade</t>
  </si>
  <si>
    <t>4 pessoas</t>
  </si>
  <si>
    <t>6 -7 h no dia varia</t>
  </si>
  <si>
    <t>Não há empregados formais</t>
  </si>
  <si>
    <t>Equipamentos da UFOPA ( emprestimo espaço)</t>
  </si>
  <si>
    <t>Luiz Feijão</t>
  </si>
  <si>
    <t>Lucineide Soares</t>
  </si>
  <si>
    <t>Florenzano Nuts</t>
  </si>
  <si>
    <t>Oriximiná</t>
  </si>
  <si>
    <t>Castanha beneficiada</t>
  </si>
  <si>
    <t>Os produtos passam por etapas de beneficiamento e processamento, desde a classificação</t>
  </si>
  <si>
    <t>1 saca= 50 KG; 1 Hecto= 50 KG</t>
  </si>
  <si>
    <t>16000 KG</t>
  </si>
  <si>
    <t>Contrato</t>
  </si>
  <si>
    <t>contrato</t>
  </si>
  <si>
    <t>Dulce; Rosinelson</t>
  </si>
  <si>
    <t>Paula Sena</t>
  </si>
  <si>
    <t>Cooplafora</t>
  </si>
  <si>
    <t>Castanha; copaíba , andiroba; pimenta Indigena; semente seca do Cumarú</t>
  </si>
  <si>
    <t>In natura</t>
  </si>
  <si>
    <t>sim , Cooplafora ; ARMIMO</t>
  </si>
  <si>
    <t>Contratos fromais , que é o termo assinado; e tem o contrato por quantidade de dinheiro repassado</t>
  </si>
  <si>
    <t xml:space="preserve">Castanha = Mutran force a embalagem; Cumarú= atraves de projetos, Andiroba= através de projeto; Copaíba atraves de projeto; piemnta atraves de projeto </t>
  </si>
  <si>
    <t>2 turnos por dia</t>
  </si>
  <si>
    <t>Cooperados e empregados</t>
  </si>
  <si>
    <t>Projetos</t>
  </si>
  <si>
    <t>Alanna; Lissandra</t>
  </si>
  <si>
    <t>Odinéia; Aldo</t>
  </si>
  <si>
    <t>Sorveteria Nido</t>
  </si>
  <si>
    <t>Sorvete de castanha e cupuaçu</t>
  </si>
  <si>
    <t>Sorvete de castanha e de cupuaçu com castanha</t>
  </si>
  <si>
    <t>Tudo na unica compra</t>
  </si>
  <si>
    <t>1 turno</t>
  </si>
  <si>
    <t>Recurso Próprio</t>
  </si>
  <si>
    <t>Nº do questionário</t>
  </si>
  <si>
    <t>Produto</t>
  </si>
  <si>
    <t>Nome/apelido do fornecedor</t>
  </si>
  <si>
    <t>O fornecedor produz ou é intermediário?</t>
  </si>
  <si>
    <t>Há quanto tempo compra do fornecedor?</t>
  </si>
  <si>
    <t>Qual a frequência anual de compra?</t>
  </si>
  <si>
    <t>Há uma relação de proximidade/pessoal? Se sim, qual?</t>
  </si>
  <si>
    <t>Qual a origem da produção? (comunidade, região, município)</t>
  </si>
  <si>
    <t>Fornecedores mais importantes</t>
  </si>
  <si>
    <t>Contatos dos fornecedores</t>
  </si>
  <si>
    <t>Cesar</t>
  </si>
  <si>
    <t>Intermediario</t>
  </si>
  <si>
    <t>4 a 5 anos</t>
  </si>
  <si>
    <t>2 vezes no ano</t>
  </si>
  <si>
    <t>São José - Br 163</t>
  </si>
  <si>
    <t>(93) 98814-8970</t>
  </si>
  <si>
    <t>Gelson</t>
  </si>
  <si>
    <t>INTERMEDIÁRIO</t>
  </si>
  <si>
    <t>5 anos</t>
  </si>
  <si>
    <t>1 vez ao ano</t>
  </si>
  <si>
    <t>AMIGO</t>
  </si>
  <si>
    <t>(93) 991424181</t>
  </si>
  <si>
    <t>Dionaldo</t>
  </si>
  <si>
    <t>Cedro</t>
  </si>
  <si>
    <t>(93) 992199526</t>
  </si>
  <si>
    <t>Alfredo</t>
  </si>
  <si>
    <t>Curuá-Una</t>
  </si>
  <si>
    <t>(93) 991100305</t>
  </si>
  <si>
    <t>Geraldo</t>
  </si>
  <si>
    <t>PRODUZ</t>
  </si>
  <si>
    <t>São Jorge</t>
  </si>
  <si>
    <t>Vila Goiânia</t>
  </si>
  <si>
    <t>(93) 992045602</t>
  </si>
  <si>
    <t>Mel</t>
  </si>
  <si>
    <t xml:space="preserve">Erasmo de Miranda </t>
  </si>
  <si>
    <t>Cooperado</t>
  </si>
  <si>
    <t>Comunidade São Domingos</t>
  </si>
  <si>
    <t>(93) 99115-7658</t>
  </si>
  <si>
    <t>Oléo de Copaíba</t>
  </si>
  <si>
    <t>Magno S Patrocínio</t>
  </si>
  <si>
    <t>Prainha 2</t>
  </si>
  <si>
    <t>(93) 991540029</t>
  </si>
  <si>
    <t>Odenor Farias</t>
  </si>
  <si>
    <t>Prainha 1</t>
  </si>
  <si>
    <t>Oléo de Andiroba</t>
  </si>
  <si>
    <t>Alice gomes</t>
  </si>
  <si>
    <t>Pedreira</t>
  </si>
  <si>
    <t>(93)991492290</t>
  </si>
  <si>
    <t>Adelino Ferreira</t>
  </si>
  <si>
    <t>Aldeia Marituba</t>
  </si>
  <si>
    <t>(93) 992265846</t>
  </si>
  <si>
    <t>Marlene Sousa</t>
  </si>
  <si>
    <t>São domingos</t>
  </si>
  <si>
    <t>Andiroba, sementes; velas; incenso</t>
  </si>
  <si>
    <t>Marevaldo</t>
  </si>
  <si>
    <t>Desde a fundção da organização</t>
  </si>
  <si>
    <t>Varia conforme a disponibilidade</t>
  </si>
  <si>
    <t>Familiar, e conhecidos</t>
  </si>
  <si>
    <t>Flona do Tapajós ( Alto e baixo), Região Belterra- Santarém</t>
  </si>
  <si>
    <t>Andiroba = Marivaldo; Copaíba= Fornecedores da região</t>
  </si>
  <si>
    <t>Fornecedores da alta tapajós ( via cooperativa)</t>
  </si>
  <si>
    <t>Marcelo; Mão do marcelo; Chiquinho; Manoel Pereira</t>
  </si>
  <si>
    <t>Alter do Chão; Flona;</t>
  </si>
  <si>
    <t>Oleo de andiroba</t>
  </si>
  <si>
    <t>Amizade</t>
  </si>
  <si>
    <t>Flona do Tapajós Comunidade São Domingos</t>
  </si>
  <si>
    <t>Amazon Oleos</t>
  </si>
  <si>
    <t>comercial</t>
  </si>
  <si>
    <t>Ananindeua Comunidades proximas</t>
  </si>
  <si>
    <t>Manteiga de cupuaçu</t>
  </si>
  <si>
    <t>ASCOFER</t>
  </si>
  <si>
    <t>Quase 2 anos</t>
  </si>
  <si>
    <t>Compra semestrais</t>
  </si>
  <si>
    <t>Produtores Rurais Belterra</t>
  </si>
  <si>
    <t>Amazonas; Acre ; Pa</t>
  </si>
  <si>
    <t>Indigenas; associações Mapuera</t>
  </si>
  <si>
    <t>3 anos</t>
  </si>
  <si>
    <t>Janeiro- fevereiro</t>
  </si>
  <si>
    <t>Há uma diretoria responsável por escolher os intermdiarios</t>
  </si>
  <si>
    <t>Indigenas Associação Mapuera</t>
  </si>
  <si>
    <t>Hilton , Samuel</t>
  </si>
  <si>
    <t>COoperado</t>
  </si>
  <si>
    <t>Cumarú</t>
  </si>
  <si>
    <t>Junho- novembro</t>
  </si>
  <si>
    <t>Alenquer PDS, salgado Caipuru</t>
  </si>
  <si>
    <t>Andiroba</t>
  </si>
  <si>
    <t>Leonardo do são Joaquim</t>
  </si>
  <si>
    <t>desde 2022</t>
  </si>
  <si>
    <t>São Joaquim</t>
  </si>
  <si>
    <t>Copaíba</t>
  </si>
  <si>
    <t>Domingos Printes, carlos josé; Augusto</t>
  </si>
  <si>
    <t>desde 2024</t>
  </si>
  <si>
    <t>Mãe cuê</t>
  </si>
  <si>
    <t>Pimenta</t>
  </si>
  <si>
    <t>Jonas Josinaldo</t>
  </si>
  <si>
    <t>desde 2021</t>
  </si>
  <si>
    <t>Nhamundá; Veiro</t>
  </si>
  <si>
    <t>Gerson- mercadão 200, Bomba coco</t>
  </si>
  <si>
    <t>50 anos</t>
  </si>
  <si>
    <t>1 vez no ano</t>
  </si>
  <si>
    <t>Gerson</t>
  </si>
  <si>
    <t>Qtd comprada/ mês inverno (Jan-Jun)</t>
  </si>
  <si>
    <t>Unidade de referência (KG, L)</t>
  </si>
  <si>
    <t>Preço médio de compra (Jan-Jun, R$) MÍNIMO</t>
  </si>
  <si>
    <t>Preço médio de compra (Jan-Jun, R$) MÁXIMO</t>
  </si>
  <si>
    <t>Qtd comprada/mês verão (Jul-Dez)</t>
  </si>
  <si>
    <t>Preço médio de compra (Jul-Dez, R$) MÍNIMO</t>
  </si>
  <si>
    <t>Preço médio de compra (Jul-Dez, R$) MÁXIMO</t>
  </si>
  <si>
    <t>Onde é realizada a entrega do produto?</t>
  </si>
  <si>
    <t>Quem paga o frete?</t>
  </si>
  <si>
    <t>Qual o valor do frete por lote (R$)?</t>
  </si>
  <si>
    <t>Qual transporte utilizado?</t>
  </si>
  <si>
    <t>KG</t>
  </si>
  <si>
    <t>NA INDÚSTRIA</t>
  </si>
  <si>
    <t>Não cobra frete</t>
  </si>
  <si>
    <t>Transporte do fornecedor que leva</t>
  </si>
  <si>
    <t>INCLUSO NO VALOR DE COMPRA</t>
  </si>
  <si>
    <t>L</t>
  </si>
  <si>
    <t>Na Ecoloja</t>
  </si>
  <si>
    <t>Os cooperados</t>
  </si>
  <si>
    <t>Passagem, não soube infromar o valor</t>
  </si>
  <si>
    <t>Onibus</t>
  </si>
  <si>
    <t>Andiroba- semente</t>
  </si>
  <si>
    <t>Entrega nas Amelias</t>
  </si>
  <si>
    <t>Sem custo</t>
  </si>
  <si>
    <t>Entrega nas Amelias, buscam no local do produtor</t>
  </si>
  <si>
    <t>Buscam em Santarém</t>
  </si>
  <si>
    <t>Oleo de Castanha</t>
  </si>
  <si>
    <t>CORREIOS ENVIO DE BELÉM</t>
  </si>
  <si>
    <t>Terrestre / Aéreo/ privado</t>
  </si>
  <si>
    <t>óleo de buriti</t>
  </si>
  <si>
    <t>óleo de pataua</t>
  </si>
  <si>
    <t>óleo de andiroba</t>
  </si>
  <si>
    <t>ONIBUS (BELTERRA SANTARÉM)</t>
  </si>
  <si>
    <t>VARIA</t>
  </si>
  <si>
    <t>manteiga murumuru</t>
  </si>
  <si>
    <t>manteiga de Ucuuba</t>
  </si>
  <si>
    <t>manteiga de cupuaçu</t>
  </si>
  <si>
    <t>RETIRA EM BELTERRA</t>
  </si>
  <si>
    <t>Transporte próprio</t>
  </si>
  <si>
    <t>mandam pelo barco</t>
  </si>
  <si>
    <t>Cooperativa</t>
  </si>
  <si>
    <t xml:space="preserve">8 reais a saca </t>
  </si>
  <si>
    <t>Cumaru</t>
  </si>
  <si>
    <t>é buscado na caminhonte</t>
  </si>
  <si>
    <t>caminhonete</t>
  </si>
  <si>
    <t>andiroba</t>
  </si>
  <si>
    <t>enttrga na cooperativa</t>
  </si>
  <si>
    <t>Copaíba organica</t>
  </si>
  <si>
    <t>barco</t>
  </si>
  <si>
    <t>Copaíba Não Organica</t>
  </si>
  <si>
    <t>entregam na cooperativa</t>
  </si>
  <si>
    <t>Forma de venda (óleo, fruto, pó, outro)</t>
  </si>
  <si>
    <t>Uso principal:</t>
  </si>
  <si>
    <t>Qual o período de venda?</t>
  </si>
  <si>
    <t>Quais os principais compradores?</t>
  </si>
  <si>
    <t>Qual origem do comprador?</t>
  </si>
  <si>
    <t>Há quanto tempo comercializa com o comprador?</t>
  </si>
  <si>
    <t>Quantidade vendida/mês</t>
  </si>
  <si>
    <t>Preço de venda/mês (R$)</t>
  </si>
  <si>
    <t>Quanto usa castanha/fármaco para produzir uma unidade do produto vendido?</t>
  </si>
  <si>
    <t>Unidade de referência (L, KG)</t>
  </si>
  <si>
    <t>Qtd. de unidades produzidas</t>
  </si>
  <si>
    <t>Peso/volume das unidades obtidas(PRECISA ESTAR EM L OU KG)</t>
  </si>
  <si>
    <t>Rendimento de unidades por LITRO/KG</t>
  </si>
  <si>
    <t>Geleia de cacau e castanha</t>
  </si>
  <si>
    <t>Alimentar</t>
  </si>
  <si>
    <t>Todo o ano</t>
  </si>
  <si>
    <t>Consumidores finais</t>
  </si>
  <si>
    <t>7 anos</t>
  </si>
  <si>
    <t>Pote de geléia de 150 gramas</t>
  </si>
  <si>
    <t>Empresas</t>
  </si>
  <si>
    <t>8 anos</t>
  </si>
  <si>
    <t>Eventos</t>
  </si>
  <si>
    <t>9 anos</t>
  </si>
  <si>
    <t>Fruto</t>
  </si>
  <si>
    <t>ALIMENTAR</t>
  </si>
  <si>
    <t>ANO TODO</t>
  </si>
  <si>
    <t>6 anos</t>
  </si>
  <si>
    <t xml:space="preserve">KG </t>
  </si>
  <si>
    <t>Medicinal</t>
  </si>
  <si>
    <t>Julho a Agosto</t>
  </si>
  <si>
    <t>Na</t>
  </si>
  <si>
    <t>Óleo</t>
  </si>
  <si>
    <t>Vendas Continuas</t>
  </si>
  <si>
    <t>Varejo local ( turistas; Visitantes na loja das amelias; parceiros; Ongs, Eventos; CI BRASIL TNC ja compraram kits e exportaram( EUA e FRANÇa</t>
  </si>
  <si>
    <t>Vela</t>
  </si>
  <si>
    <t>Ambiental</t>
  </si>
  <si>
    <t>Unidades</t>
  </si>
  <si>
    <t xml:space="preserve">gotas </t>
  </si>
  <si>
    <t>30 velas</t>
  </si>
  <si>
    <t>Sabonete</t>
  </si>
  <si>
    <t>Cosméstico</t>
  </si>
  <si>
    <t>26 sabonetes</t>
  </si>
  <si>
    <t>Aproximadamente 9 unidades</t>
  </si>
  <si>
    <t>2,5 ml de oleo por shampoo</t>
  </si>
  <si>
    <t>Condicionadores</t>
  </si>
  <si>
    <t>ML</t>
  </si>
  <si>
    <t>Mascara Capilar</t>
  </si>
  <si>
    <t>Aproximadamente 3 unidades</t>
  </si>
  <si>
    <t>2 a 3  no ano</t>
  </si>
  <si>
    <t>Buriti</t>
  </si>
  <si>
    <t>Patauá</t>
  </si>
  <si>
    <t>Castanha média</t>
  </si>
  <si>
    <t>Julho - agosto</t>
  </si>
  <si>
    <t>Exp nacional</t>
  </si>
  <si>
    <t>kg</t>
  </si>
  <si>
    <t xml:space="preserve"> Castanha miúda</t>
  </si>
  <si>
    <t>Julho- agosto</t>
  </si>
  <si>
    <t>Na safra</t>
  </si>
  <si>
    <t>Mutram</t>
  </si>
  <si>
    <t xml:space="preserve"> ( Belém)</t>
  </si>
  <si>
    <t>Semente</t>
  </si>
  <si>
    <t>Medicinal; Alimentar</t>
  </si>
  <si>
    <t>matoso Extrato; Penina</t>
  </si>
  <si>
    <t>Beraca ingredientes; flor de jambu; consumidor</t>
  </si>
  <si>
    <t>Beraca ingredientes; natura</t>
  </si>
  <si>
    <t>Copaíba não organica</t>
  </si>
  <si>
    <t>Pó</t>
  </si>
  <si>
    <t>AlIMENTAR</t>
  </si>
  <si>
    <t xml:space="preserve">Mahta ; Canoa arte , Nicolas chocolate; </t>
  </si>
  <si>
    <t>Parati,Belgica</t>
  </si>
  <si>
    <t>Sorvete</t>
  </si>
  <si>
    <t>Clientes</t>
  </si>
  <si>
    <t>Castanha e cupuaçu</t>
  </si>
  <si>
    <t>Pegam todos os 10 kg de uma vez, uma compra grande por semestre</t>
  </si>
  <si>
    <t>KG - Inteira</t>
  </si>
  <si>
    <t>KG - Quebrada</t>
  </si>
  <si>
    <t>UND</t>
  </si>
  <si>
    <t>150 g</t>
  </si>
  <si>
    <t>Gramas</t>
  </si>
  <si>
    <t>Compra em São Paulo e Curitibá</t>
  </si>
  <si>
    <t>Embalagem em bobina de 30 a 40 mil; e etiqueta 0,50 centavos a unidade</t>
  </si>
  <si>
    <t>Guaraná - Curuá-Una</t>
  </si>
  <si>
    <t>Gelson; Deveras Amazônia; Hotel Açaí; Lojas do Aeroporto</t>
  </si>
  <si>
    <t>Grama</t>
  </si>
  <si>
    <t>Gelson; Deveras; Amazoniere; Hotel Açaí; Lojas do Aeroporto</t>
  </si>
  <si>
    <t>Lissandra; Alanna e Samuel</t>
  </si>
  <si>
    <t>Jorge Luis e Ane</t>
  </si>
  <si>
    <t>Massabor Cuiabá</t>
  </si>
  <si>
    <t>500 tipos de produtos</t>
  </si>
  <si>
    <t>Bolo paraense; Biscoito Paciência; Bolo trio Paraense; Doce de Castanha e cupu; Pão caseiro de castanha e Brioche de castanha</t>
  </si>
  <si>
    <t>1 Caixa = 20 KG</t>
  </si>
  <si>
    <t>Continuo</t>
  </si>
  <si>
    <t>Sim, para ONGs</t>
  </si>
  <si>
    <t>Compra em Belém, São Paulo e de Santarém</t>
  </si>
  <si>
    <t>40 mil por mês</t>
  </si>
  <si>
    <t>3 Turnos</t>
  </si>
  <si>
    <t>CLT</t>
  </si>
  <si>
    <t>As vezes</t>
  </si>
  <si>
    <t>Datas comemorativas, principalmente final de ano</t>
  </si>
  <si>
    <t>Recurso próprio e financiamento bancário</t>
  </si>
  <si>
    <t>Castanha - Beneficiada</t>
  </si>
  <si>
    <t>Caiba</t>
  </si>
  <si>
    <t>Empresa</t>
  </si>
  <si>
    <t>Quase 20 anos</t>
  </si>
  <si>
    <t>Em menos de 2 meses</t>
  </si>
  <si>
    <t>Conhece a muitos anos. Possuí prioridade</t>
  </si>
  <si>
    <t>Óbidos</t>
  </si>
  <si>
    <t>Vem de barco e pega no porto</t>
  </si>
  <si>
    <t>A empresal, ta incluso</t>
  </si>
  <si>
    <t>Barco</t>
  </si>
  <si>
    <t>Bolo Paraense</t>
  </si>
  <si>
    <t>Bolo</t>
  </si>
  <si>
    <t>20 anos</t>
  </si>
  <si>
    <t>Biscoito Paciência</t>
  </si>
  <si>
    <t>Biscoito</t>
  </si>
  <si>
    <t>Bolo Trio Paraense</t>
  </si>
  <si>
    <t>Doce de Castanha e cupu</t>
  </si>
  <si>
    <t>Doce</t>
  </si>
  <si>
    <t>Pão Caseiro</t>
  </si>
  <si>
    <t>Pão</t>
  </si>
  <si>
    <t>Brioche de castanha</t>
  </si>
  <si>
    <t>Santarém (Planalto São José)</t>
  </si>
  <si>
    <t>Santarém (Salé)</t>
  </si>
  <si>
    <t>Óleo vegetais( castanhas ; buriti; patauá; e andiroba) são utilizados como insumos, manteigas (murumuru, ucuuba e cupuaçu, também são Utilizados insumos farmaceuticos(tensoativos Conservantes )</t>
  </si>
  <si>
    <t>Amizade e parceria</t>
  </si>
  <si>
    <t>Oléo de castanha , buriti e patauá e manteigas de murumuru e ucuuba</t>
  </si>
  <si>
    <t>Shampoos</t>
  </si>
  <si>
    <t>Desde final de 2023</t>
  </si>
  <si>
    <t>250 mL</t>
  </si>
  <si>
    <t>5 a 7,5 ML</t>
  </si>
  <si>
    <t>7,5 ML</t>
  </si>
  <si>
    <t>30 ML</t>
  </si>
  <si>
    <t>Shampoo</t>
  </si>
  <si>
    <t>Condicionador</t>
  </si>
  <si>
    <t>Máscara Capilar</t>
  </si>
  <si>
    <t>Pessoas Fisicas via whatsapp , hoteis</t>
  </si>
  <si>
    <t>Autonomo, em frente ao cas (beira rio)</t>
  </si>
  <si>
    <t>p/ 6 KG de sorvete ultiliza-se 250 g de castanha, e 125 g para o sorvete de castanha c/ cupuaçu</t>
  </si>
  <si>
    <t>Santarém - Mendonça furtado</t>
  </si>
  <si>
    <t>Casa do Sorveteiro</t>
  </si>
  <si>
    <t>Bomba coco - 99103717</t>
  </si>
  <si>
    <t>Na sorveteria - Deposito</t>
  </si>
  <si>
    <t xml:space="preserve">Incluso no valor </t>
  </si>
  <si>
    <t>250 g de castanha p/ 6 kg de sorvete</t>
  </si>
  <si>
    <t>G</t>
  </si>
  <si>
    <t xml:space="preserve"> Castanha</t>
  </si>
  <si>
    <t>Dulce; Laize; Elen</t>
  </si>
  <si>
    <t>Garcilázio Brilhante</t>
  </si>
  <si>
    <t>Brilhante da Amazônia</t>
  </si>
  <si>
    <t>Monte Dourado</t>
  </si>
  <si>
    <t>Castanha; cumaru; copaíba; Andiroba</t>
  </si>
  <si>
    <t>In natura; processados</t>
  </si>
  <si>
    <t>Conforme a produçao do dia</t>
  </si>
  <si>
    <t>2,5 a unidade</t>
  </si>
  <si>
    <t>60 mulheres</t>
  </si>
  <si>
    <t>Diaristas</t>
  </si>
  <si>
    <t>sim na safra</t>
  </si>
  <si>
    <t>Cumarú do Amapá = Coomargem e COOPERALTA</t>
  </si>
  <si>
    <t>Semanal ou quinzenal</t>
  </si>
  <si>
    <t>Compra de Pernanbuco</t>
  </si>
  <si>
    <t>Almeirim : rota dos castanhais; Arumanduba; Recreio; cafezal. Amapá ( região do Vale do Jari toda</t>
  </si>
  <si>
    <t>Castanha Draiada</t>
  </si>
  <si>
    <t>Supermercados da Região</t>
  </si>
  <si>
    <t>Brasilia; Goiania; Mato grosso; Paraná e outras regiões do Pará</t>
  </si>
  <si>
    <t>18/18/2025</t>
  </si>
  <si>
    <t>Luiz; Dulce; José Victor</t>
  </si>
  <si>
    <t>manoel edivaldo</t>
  </si>
  <si>
    <t>ecocentro; acosper</t>
  </si>
  <si>
    <t>lago grande; são francisco</t>
  </si>
  <si>
    <t>Borracha; Andiroba; mel; cumarú (amêndoas); Cupu-açu (amêndoas – manteiga); jatobá; entre outros.</t>
  </si>
  <si>
    <t>ambos</t>
  </si>
  <si>
    <t>sim; fornecedores do mel são associados a acosper; andiroba vem tanto de cooperados quanto não cooperados</t>
  </si>
  <si>
    <t>sim</t>
  </si>
  <si>
    <t>Embalagens veem de Sp</t>
  </si>
  <si>
    <t>Ambos</t>
  </si>
  <si>
    <t>Diverso; Fundo Amazônia</t>
  </si>
  <si>
    <t>pajurá; limmão tuba; brinco de moças; jenipapo; fanzenda boa safra; ronda; poço branco do ituquí; uruará</t>
  </si>
  <si>
    <t>mel</t>
  </si>
  <si>
    <t>arapiuns; são josé; muquereru; atrocal; são franciso; aminam; anam; carãm; pedra branca; muquena; vila amazonas; laranjal; são josé do ituqui; nova vista do ituqui; santa maria; taparamiri; tapara grande</t>
  </si>
  <si>
    <t>andiroba viva</t>
  </si>
  <si>
    <t>entregue no ecocentro</t>
  </si>
  <si>
    <t>andiroba seca</t>
  </si>
  <si>
    <t>46 kg</t>
  </si>
  <si>
    <t>60 L</t>
  </si>
  <si>
    <t>próprio</t>
  </si>
  <si>
    <t>6/kg</t>
  </si>
  <si>
    <t>óleo</t>
  </si>
  <si>
    <t>NATURA</t>
  </si>
  <si>
    <t>medicinal; Cosmético</t>
  </si>
  <si>
    <t>Líquido</t>
  </si>
  <si>
    <t>medicinal; alimentar</t>
  </si>
  <si>
    <t>Central do Cerrado</t>
  </si>
  <si>
    <t>São Paulo</t>
  </si>
  <si>
    <t>1 ano</t>
  </si>
  <si>
    <t>embalegens de 300 ml</t>
  </si>
  <si>
    <t>Coroca</t>
  </si>
  <si>
    <t>Alter do Chão</t>
  </si>
  <si>
    <t>2 anos</t>
  </si>
  <si>
    <t>Jambú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</si>
</sst>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d/m/yyyy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rgb="FFFFFF00"/>
        <bgColor rgb="FFFF9900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/>
    <xf numFmtId="0" fontId="4" fillId="3" borderId="5" xfId="0" applyFont="1" applyFill="1" applyBorder="1"/>
    <xf numFmtId="0" fontId="6" fillId="0" borderId="0" xfId="0" applyFont="1" applyAlignment="1">
      <alignment wrapText="1"/>
    </xf>
    <xf numFmtId="2" fontId="4" fillId="0" borderId="4" xfId="0" applyNumberFormat="1" applyFont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2" fillId="5" borderId="4" xfId="0" applyFont="1" applyFill="1" applyBorder="1" applyAlignment="1">
      <alignment horizontal="center" vertical="center" wrapText="1"/>
    </xf>
    <xf numFmtId="49" fontId="9" fillId="6" borderId="4" xfId="0" applyNumberFormat="1" applyFont="1" applyFill="1" applyBorder="1" applyAlignment="1">
      <alignment horizontal="center" vertical="center" wrapText="1"/>
    </xf>
    <xf numFmtId="14" fontId="9" fillId="6" borderId="4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7" borderId="0" xfId="0" applyFont="1" applyFill="1"/>
    <xf numFmtId="0" fontId="9" fillId="6" borderId="8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5" xfId="0" applyFont="1" applyFill="1" applyBorder="1"/>
    <xf numFmtId="0" fontId="9" fillId="0" borderId="4" xfId="0" applyFont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14" fontId="9" fillId="7" borderId="4" xfId="0" applyNumberFormat="1" applyFont="1" applyFill="1" applyBorder="1" applyAlignment="1">
      <alignment horizontal="center" vertical="center"/>
    </xf>
    <xf numFmtId="0" fontId="9" fillId="7" borderId="4" xfId="0" quotePrefix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quotePrefix="1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165" fontId="9" fillId="7" borderId="4" xfId="0" applyNumberFormat="1" applyFont="1" applyFill="1" applyBorder="1" applyAlignment="1">
      <alignment horizontal="center" vertical="center"/>
    </xf>
    <xf numFmtId="2" fontId="9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0" xfId="0" applyFont="1" applyFill="1"/>
    <xf numFmtId="0" fontId="9" fillId="4" borderId="4" xfId="0" applyFont="1" applyFill="1" applyBorder="1" applyAlignment="1">
      <alignment horizontal="center" vertical="center" wrapText="1"/>
    </xf>
    <xf numFmtId="0" fontId="1" fillId="4" borderId="0" xfId="0" applyFont="1" applyFill="1"/>
    <xf numFmtId="0" fontId="8" fillId="4" borderId="4" xfId="0" applyFont="1" applyFill="1" applyBorder="1" applyAlignment="1">
      <alignment horizontal="center" vertical="center"/>
    </xf>
    <xf numFmtId="14" fontId="9" fillId="4" borderId="4" xfId="0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166" fontId="9" fillId="7" borderId="4" xfId="0" applyNumberFormat="1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0" fillId="7" borderId="0" xfId="0" applyFill="1"/>
    <xf numFmtId="0" fontId="8" fillId="0" borderId="4" xfId="0" applyFont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/>
    <xf numFmtId="0" fontId="3" fillId="5" borderId="3" xfId="0" applyFont="1" applyFill="1" applyBorder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6" sqref="H6"/>
    </sheetView>
  </sheetViews>
  <sheetFormatPr defaultColWidth="12.6640625" defaultRowHeight="15" customHeight="1" x14ac:dyDescent="0.3"/>
  <cols>
    <col min="1" max="1" width="11.88671875" customWidth="1"/>
    <col min="2" max="2" width="12.88671875" customWidth="1"/>
    <col min="3" max="3" width="18.109375" customWidth="1"/>
    <col min="4" max="4" width="15.109375" customWidth="1"/>
    <col min="5" max="5" width="20.6640625" customWidth="1"/>
    <col min="6" max="6" width="14.44140625" customWidth="1"/>
    <col min="7" max="7" width="12.6640625" customWidth="1"/>
    <col min="8" max="8" width="26.6640625" customWidth="1"/>
    <col min="9" max="9" width="26.5546875" customWidth="1"/>
    <col min="10" max="10" width="18.33203125" customWidth="1"/>
    <col min="11" max="11" width="17.5546875" customWidth="1"/>
    <col min="12" max="12" width="21.6640625" customWidth="1"/>
    <col min="13" max="15" width="17.109375" customWidth="1"/>
    <col min="16" max="16" width="15.33203125" customWidth="1"/>
    <col min="17" max="17" width="12" customWidth="1"/>
    <col min="18" max="18" width="8.6640625" customWidth="1"/>
    <col min="19" max="19" width="15.6640625" customWidth="1"/>
    <col min="20" max="20" width="20" customWidth="1"/>
    <col min="21" max="22" width="16.109375" customWidth="1"/>
    <col min="23" max="25" width="16.44140625" customWidth="1"/>
    <col min="26" max="26" width="22.44140625" customWidth="1"/>
  </cols>
  <sheetData>
    <row r="1" spans="1:26" ht="14.25" customHeight="1" x14ac:dyDescent="0.3">
      <c r="A1" s="57" t="s">
        <v>0</v>
      </c>
      <c r="B1" s="58"/>
      <c r="C1" s="58"/>
      <c r="D1" s="58"/>
      <c r="E1" s="58"/>
      <c r="F1" s="58"/>
      <c r="G1" s="59"/>
      <c r="H1" s="60" t="s">
        <v>1</v>
      </c>
      <c r="I1" s="61"/>
      <c r="J1" s="61"/>
      <c r="K1" s="62"/>
      <c r="L1" s="60" t="s">
        <v>2</v>
      </c>
      <c r="M1" s="61"/>
      <c r="N1" s="61"/>
      <c r="O1" s="62"/>
      <c r="P1" s="60" t="s">
        <v>3</v>
      </c>
      <c r="Q1" s="61"/>
      <c r="R1" s="61"/>
      <c r="S1" s="61"/>
      <c r="T1" s="62"/>
      <c r="U1" s="63" t="s">
        <v>4</v>
      </c>
      <c r="V1" s="61"/>
      <c r="W1" s="61"/>
      <c r="X1" s="61"/>
      <c r="Y1" s="61"/>
      <c r="Z1" s="62"/>
    </row>
    <row r="2" spans="1:26" ht="54.6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6" t="s">
        <v>12</v>
      </c>
      <c r="I2" s="16" t="s">
        <v>13</v>
      </c>
      <c r="J2" s="16" t="s">
        <v>14</v>
      </c>
      <c r="K2" s="16" t="s">
        <v>15</v>
      </c>
      <c r="L2" s="16" t="s">
        <v>16</v>
      </c>
      <c r="M2" s="16" t="s">
        <v>17</v>
      </c>
      <c r="N2" s="16" t="s">
        <v>18</v>
      </c>
      <c r="O2" s="16" t="s">
        <v>19</v>
      </c>
      <c r="P2" s="16" t="s">
        <v>16</v>
      </c>
      <c r="Q2" s="16" t="s">
        <v>20</v>
      </c>
      <c r="R2" s="16" t="s">
        <v>17</v>
      </c>
      <c r="S2" s="16" t="s">
        <v>21</v>
      </c>
      <c r="T2" s="16" t="s">
        <v>22</v>
      </c>
      <c r="U2" s="16" t="s">
        <v>23</v>
      </c>
      <c r="V2" s="16" t="s">
        <v>24</v>
      </c>
      <c r="W2" s="16" t="s">
        <v>25</v>
      </c>
      <c r="X2" s="16" t="s">
        <v>26</v>
      </c>
      <c r="Y2" s="16" t="s">
        <v>27</v>
      </c>
      <c r="Z2" s="16" t="s">
        <v>28</v>
      </c>
    </row>
    <row r="3" spans="1:26" s="20" customFormat="1" ht="67.5" customHeight="1" x14ac:dyDescent="0.25">
      <c r="A3" s="17" t="s">
        <v>29</v>
      </c>
      <c r="B3" s="18">
        <v>45855</v>
      </c>
      <c r="C3" s="19" t="s">
        <v>30</v>
      </c>
      <c r="D3" s="19" t="s">
        <v>31</v>
      </c>
      <c r="E3" s="19" t="s">
        <v>32</v>
      </c>
      <c r="F3" s="19" t="s">
        <v>33</v>
      </c>
      <c r="G3" s="19" t="s">
        <v>409</v>
      </c>
      <c r="H3" s="19" t="s">
        <v>35</v>
      </c>
      <c r="I3" s="19" t="s">
        <v>300</v>
      </c>
      <c r="J3" s="19" t="s">
        <v>36</v>
      </c>
      <c r="K3" s="19" t="s">
        <v>37</v>
      </c>
      <c r="L3" s="19" t="s">
        <v>38</v>
      </c>
      <c r="M3" s="19" t="s">
        <v>360</v>
      </c>
      <c r="N3" s="19" t="s">
        <v>39</v>
      </c>
      <c r="O3" s="19" t="s">
        <v>40</v>
      </c>
      <c r="P3" s="19" t="s">
        <v>33</v>
      </c>
      <c r="Q3" s="19" t="s">
        <v>37</v>
      </c>
      <c r="R3" s="19" t="s">
        <v>33</v>
      </c>
      <c r="S3" s="19" t="s">
        <v>41</v>
      </c>
      <c r="T3" s="19" t="s">
        <v>42</v>
      </c>
      <c r="U3" s="19" t="s">
        <v>43</v>
      </c>
      <c r="V3" s="19">
        <v>2</v>
      </c>
      <c r="W3" s="19" t="s">
        <v>44</v>
      </c>
      <c r="X3" s="19" t="s">
        <v>37</v>
      </c>
      <c r="Y3" s="19" t="s">
        <v>33</v>
      </c>
      <c r="Z3" s="19" t="s">
        <v>45</v>
      </c>
    </row>
    <row r="4" spans="1:26" s="20" customFormat="1" ht="73.2" customHeight="1" x14ac:dyDescent="0.25">
      <c r="A4" s="25">
        <v>202</v>
      </c>
      <c r="B4" s="26">
        <v>45861</v>
      </c>
      <c r="C4" s="25" t="s">
        <v>46</v>
      </c>
      <c r="D4" s="25" t="s">
        <v>47</v>
      </c>
      <c r="E4" s="25" t="s">
        <v>48</v>
      </c>
      <c r="F4" s="27" t="s">
        <v>33</v>
      </c>
      <c r="G4" s="28" t="s">
        <v>408</v>
      </c>
      <c r="H4" s="28" t="s">
        <v>49</v>
      </c>
      <c r="I4" s="25" t="s">
        <v>50</v>
      </c>
      <c r="J4" s="25" t="s">
        <v>51</v>
      </c>
      <c r="K4" s="25" t="s">
        <v>52</v>
      </c>
      <c r="L4" s="27" t="s">
        <v>33</v>
      </c>
      <c r="M4" s="25" t="s">
        <v>53</v>
      </c>
      <c r="N4" s="25" t="s">
        <v>54</v>
      </c>
      <c r="O4" s="25" t="s">
        <v>55</v>
      </c>
      <c r="P4" s="27" t="s">
        <v>33</v>
      </c>
      <c r="Q4" s="25" t="s">
        <v>52</v>
      </c>
      <c r="R4" s="27" t="s">
        <v>33</v>
      </c>
      <c r="S4" s="29" t="s">
        <v>366</v>
      </c>
      <c r="T4" s="29" t="s">
        <v>367</v>
      </c>
      <c r="U4" s="25">
        <f>AVERAGE(5,8)</f>
        <v>6.5</v>
      </c>
      <c r="V4" s="25">
        <v>2</v>
      </c>
      <c r="W4" s="25" t="s">
        <v>44</v>
      </c>
      <c r="X4" s="25" t="s">
        <v>56</v>
      </c>
      <c r="Y4" s="28" t="s">
        <v>57</v>
      </c>
      <c r="Z4" s="25" t="s">
        <v>58</v>
      </c>
    </row>
    <row r="5" spans="1:26" ht="14.25" customHeight="1" x14ac:dyDescent="0.3">
      <c r="A5" s="4">
        <v>203</v>
      </c>
      <c r="B5" s="5">
        <v>45873</v>
      </c>
      <c r="C5" s="4" t="s">
        <v>59</v>
      </c>
      <c r="D5" s="4" t="s">
        <v>60</v>
      </c>
      <c r="E5" s="4" t="s">
        <v>61</v>
      </c>
      <c r="F5" s="4" t="s">
        <v>33</v>
      </c>
      <c r="G5" s="4" t="s">
        <v>34</v>
      </c>
      <c r="H5" s="4" t="s">
        <v>62</v>
      </c>
      <c r="I5" s="6" t="s">
        <v>63</v>
      </c>
      <c r="J5" s="4" t="s">
        <v>64</v>
      </c>
      <c r="K5" s="6" t="s">
        <v>65</v>
      </c>
      <c r="L5" s="4" t="s">
        <v>66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6" t="s">
        <v>67</v>
      </c>
      <c r="T5" s="6" t="s">
        <v>68</v>
      </c>
      <c r="U5" s="6" t="s">
        <v>69</v>
      </c>
      <c r="V5" s="4">
        <v>2</v>
      </c>
      <c r="W5" s="4" t="s">
        <v>70</v>
      </c>
      <c r="X5" s="4" t="s">
        <v>71</v>
      </c>
      <c r="Y5" s="4" t="s">
        <v>33</v>
      </c>
      <c r="Z5" s="4" t="s">
        <v>33</v>
      </c>
    </row>
    <row r="6" spans="1:26" ht="14.25" customHeight="1" x14ac:dyDescent="0.3">
      <c r="A6" s="4">
        <v>204</v>
      </c>
      <c r="B6" s="2"/>
      <c r="C6" s="6" t="s">
        <v>72</v>
      </c>
      <c r="D6" s="4" t="s">
        <v>73</v>
      </c>
      <c r="E6" s="4" t="s">
        <v>74</v>
      </c>
      <c r="F6" s="4" t="s">
        <v>33</v>
      </c>
      <c r="G6" s="4" t="s">
        <v>75</v>
      </c>
      <c r="H6" s="6" t="s">
        <v>76</v>
      </c>
      <c r="I6" s="6" t="s">
        <v>77</v>
      </c>
      <c r="J6" s="6" t="s">
        <v>78</v>
      </c>
      <c r="K6" s="6" t="s">
        <v>79</v>
      </c>
      <c r="L6" s="6" t="s">
        <v>80</v>
      </c>
      <c r="M6" s="6" t="s">
        <v>81</v>
      </c>
      <c r="N6" s="4" t="s">
        <v>33</v>
      </c>
      <c r="O6" s="6" t="s">
        <v>82</v>
      </c>
      <c r="P6" s="4" t="s">
        <v>33</v>
      </c>
      <c r="Q6" s="4" t="s">
        <v>83</v>
      </c>
      <c r="R6" s="4" t="s">
        <v>33</v>
      </c>
      <c r="S6" s="6" t="s">
        <v>84</v>
      </c>
      <c r="T6" s="6" t="s">
        <v>85</v>
      </c>
      <c r="U6" s="6" t="s">
        <v>86</v>
      </c>
      <c r="V6" s="4" t="s">
        <v>33</v>
      </c>
      <c r="W6" s="6" t="s">
        <v>87</v>
      </c>
      <c r="X6" s="6" t="s">
        <v>88</v>
      </c>
      <c r="Y6" s="4" t="s">
        <v>33</v>
      </c>
      <c r="Z6" s="4" t="s">
        <v>89</v>
      </c>
    </row>
    <row r="7" spans="1:26" ht="137.4" customHeight="1" x14ac:dyDescent="0.3">
      <c r="A7" s="12">
        <v>205</v>
      </c>
      <c r="B7" s="35">
        <v>45902</v>
      </c>
      <c r="C7" s="36" t="s">
        <v>90</v>
      </c>
      <c r="D7" s="36" t="s">
        <v>91</v>
      </c>
      <c r="E7" s="12" t="s">
        <v>92</v>
      </c>
      <c r="F7" s="13"/>
      <c r="G7" s="36" t="s">
        <v>93</v>
      </c>
      <c r="H7" s="36" t="s">
        <v>94</v>
      </c>
      <c r="I7" s="36" t="s">
        <v>410</v>
      </c>
      <c r="J7" s="12" t="s">
        <v>64</v>
      </c>
      <c r="K7" s="36" t="s">
        <v>95</v>
      </c>
      <c r="L7" s="36" t="s">
        <v>96</v>
      </c>
      <c r="M7" s="36" t="s">
        <v>97</v>
      </c>
      <c r="N7" s="12" t="s">
        <v>54</v>
      </c>
      <c r="O7" s="12" t="s">
        <v>98</v>
      </c>
      <c r="P7" s="36" t="s">
        <v>99</v>
      </c>
      <c r="Q7" s="12" t="s">
        <v>33</v>
      </c>
      <c r="R7" s="12" t="s">
        <v>33</v>
      </c>
      <c r="S7" s="36" t="s">
        <v>100</v>
      </c>
      <c r="T7" s="12" t="s">
        <v>101</v>
      </c>
      <c r="U7" s="12" t="s">
        <v>102</v>
      </c>
      <c r="V7" s="36" t="s">
        <v>103</v>
      </c>
      <c r="W7" s="36" t="s">
        <v>104</v>
      </c>
      <c r="X7" s="12" t="s">
        <v>33</v>
      </c>
      <c r="Y7" s="12" t="s">
        <v>33</v>
      </c>
      <c r="Z7" s="36" t="s">
        <v>105</v>
      </c>
    </row>
    <row r="8" spans="1:26" ht="14.25" customHeight="1" x14ac:dyDescent="0.3">
      <c r="A8" s="4">
        <v>206</v>
      </c>
      <c r="B8" s="5">
        <v>45926</v>
      </c>
      <c r="C8" s="7" t="s">
        <v>106</v>
      </c>
      <c r="D8" s="6" t="s">
        <v>107</v>
      </c>
      <c r="E8" s="4" t="s">
        <v>108</v>
      </c>
      <c r="F8" s="2"/>
      <c r="G8" s="6" t="s">
        <v>109</v>
      </c>
      <c r="H8" s="4" t="s">
        <v>50</v>
      </c>
      <c r="I8" s="6" t="s">
        <v>110</v>
      </c>
      <c r="J8" s="6" t="s">
        <v>111</v>
      </c>
      <c r="K8" s="4" t="s">
        <v>52</v>
      </c>
      <c r="L8" s="6" t="s">
        <v>112</v>
      </c>
      <c r="M8" s="2">
        <f>AVERAGE(200,400)</f>
        <v>300</v>
      </c>
      <c r="N8" s="4" t="s">
        <v>54</v>
      </c>
      <c r="O8" s="4" t="s">
        <v>33</v>
      </c>
      <c r="P8" s="4" t="s">
        <v>33</v>
      </c>
      <c r="Q8" s="4" t="s">
        <v>33</v>
      </c>
      <c r="R8" s="6" t="s">
        <v>113</v>
      </c>
      <c r="S8" s="4" t="s">
        <v>33</v>
      </c>
      <c r="T8" s="4" t="s">
        <v>33</v>
      </c>
      <c r="U8" s="4">
        <v>105</v>
      </c>
      <c r="V8" s="4" t="s">
        <v>33</v>
      </c>
      <c r="W8" s="4" t="s">
        <v>114</v>
      </c>
      <c r="X8" s="4" t="s">
        <v>115</v>
      </c>
      <c r="Y8" s="4" t="s">
        <v>33</v>
      </c>
      <c r="Z8" s="4" t="s">
        <v>33</v>
      </c>
    </row>
    <row r="9" spans="1:26" ht="14.25" customHeight="1" x14ac:dyDescent="0.3">
      <c r="A9" s="4">
        <v>207</v>
      </c>
      <c r="B9" s="5">
        <v>45922</v>
      </c>
      <c r="C9" s="4" t="s">
        <v>116</v>
      </c>
      <c r="D9" s="4" t="s">
        <v>117</v>
      </c>
      <c r="E9" s="4" t="s">
        <v>118</v>
      </c>
      <c r="F9" s="2"/>
      <c r="G9" s="4" t="s">
        <v>109</v>
      </c>
      <c r="H9" s="6" t="s">
        <v>119</v>
      </c>
      <c r="I9" s="4" t="s">
        <v>33</v>
      </c>
      <c r="J9" s="6" t="s">
        <v>120</v>
      </c>
      <c r="K9" s="6" t="s">
        <v>121</v>
      </c>
      <c r="L9" s="4" t="s">
        <v>33</v>
      </c>
      <c r="M9" s="4" t="s">
        <v>33</v>
      </c>
      <c r="N9" s="4" t="s">
        <v>33</v>
      </c>
      <c r="O9" s="6" t="s">
        <v>122</v>
      </c>
      <c r="P9" s="4" t="s">
        <v>33</v>
      </c>
      <c r="Q9" s="4" t="s">
        <v>52</v>
      </c>
      <c r="R9" s="4" t="s">
        <v>33</v>
      </c>
      <c r="S9" s="6" t="s">
        <v>123</v>
      </c>
      <c r="T9" s="4" t="s">
        <v>33</v>
      </c>
      <c r="U9" s="4" t="s">
        <v>33</v>
      </c>
      <c r="V9" s="4" t="s">
        <v>124</v>
      </c>
      <c r="W9" s="4" t="s">
        <v>125</v>
      </c>
      <c r="X9" s="4" t="s">
        <v>33</v>
      </c>
      <c r="Y9" s="4" t="s">
        <v>33</v>
      </c>
      <c r="Z9" s="4" t="s">
        <v>126</v>
      </c>
    </row>
    <row r="10" spans="1:26" ht="86.4" customHeight="1" x14ac:dyDescent="0.3">
      <c r="A10" s="37">
        <v>208</v>
      </c>
      <c r="B10" s="42">
        <v>45924</v>
      </c>
      <c r="C10" s="37" t="s">
        <v>127</v>
      </c>
      <c r="D10" s="37" t="s">
        <v>128</v>
      </c>
      <c r="E10" s="37" t="s">
        <v>129</v>
      </c>
      <c r="F10" s="41"/>
      <c r="G10" s="39" t="s">
        <v>425</v>
      </c>
      <c r="H10" s="39" t="s">
        <v>130</v>
      </c>
      <c r="I10" s="39" t="s">
        <v>131</v>
      </c>
      <c r="J10" s="37" t="s">
        <v>64</v>
      </c>
      <c r="K10" s="39" t="s">
        <v>423</v>
      </c>
      <c r="L10" s="39" t="s">
        <v>424</v>
      </c>
      <c r="M10" s="39" t="s">
        <v>132</v>
      </c>
      <c r="N10" s="37" t="s">
        <v>378</v>
      </c>
      <c r="O10" s="37" t="s">
        <v>55</v>
      </c>
      <c r="P10" s="37" t="s">
        <v>33</v>
      </c>
      <c r="Q10" s="37" t="s">
        <v>52</v>
      </c>
      <c r="R10" s="37" t="s">
        <v>33</v>
      </c>
      <c r="S10" s="39" t="s">
        <v>426</v>
      </c>
      <c r="T10" s="37" t="s">
        <v>33</v>
      </c>
      <c r="U10" s="37">
        <v>4</v>
      </c>
      <c r="V10" s="37" t="s">
        <v>133</v>
      </c>
      <c r="W10" s="37" t="s">
        <v>44</v>
      </c>
      <c r="X10" s="37" t="s">
        <v>33</v>
      </c>
      <c r="Y10" s="37" t="s">
        <v>33</v>
      </c>
      <c r="Z10" s="37" t="s">
        <v>134</v>
      </c>
    </row>
    <row r="11" spans="1:26" s="20" customFormat="1" ht="97.2" customHeight="1" x14ac:dyDescent="0.25">
      <c r="A11" s="25">
        <v>209</v>
      </c>
      <c r="B11" s="26">
        <v>45980</v>
      </c>
      <c r="C11" s="28" t="s">
        <v>372</v>
      </c>
      <c r="D11" s="28" t="s">
        <v>373</v>
      </c>
      <c r="E11" s="25" t="s">
        <v>374</v>
      </c>
      <c r="F11" s="25" t="s">
        <v>33</v>
      </c>
      <c r="G11" s="25" t="s">
        <v>34</v>
      </c>
      <c r="H11" s="25" t="s">
        <v>375</v>
      </c>
      <c r="I11" s="28" t="s">
        <v>376</v>
      </c>
      <c r="J11" s="25" t="s">
        <v>64</v>
      </c>
      <c r="K11" s="25" t="s">
        <v>37</v>
      </c>
      <c r="L11" s="25" t="s">
        <v>377</v>
      </c>
      <c r="M11" s="25" t="s">
        <v>33</v>
      </c>
      <c r="N11" s="25" t="s">
        <v>378</v>
      </c>
      <c r="O11" s="25" t="s">
        <v>55</v>
      </c>
      <c r="P11" s="25" t="s">
        <v>33</v>
      </c>
      <c r="Q11" s="28" t="s">
        <v>379</v>
      </c>
      <c r="R11" s="25" t="s">
        <v>33</v>
      </c>
      <c r="S11" s="28" t="s">
        <v>380</v>
      </c>
      <c r="T11" s="25" t="s">
        <v>381</v>
      </c>
      <c r="U11" s="25">
        <v>70</v>
      </c>
      <c r="V11" s="25" t="s">
        <v>382</v>
      </c>
      <c r="W11" s="25" t="s">
        <v>383</v>
      </c>
      <c r="X11" s="25" t="s">
        <v>384</v>
      </c>
      <c r="Y11" s="28" t="s">
        <v>385</v>
      </c>
      <c r="Z11" s="28" t="s">
        <v>386</v>
      </c>
    </row>
    <row r="12" spans="1:26" s="15" customFormat="1" ht="14.25" customHeight="1" x14ac:dyDescent="0.25">
      <c r="A12" s="24">
        <v>210</v>
      </c>
      <c r="B12" s="24" t="s">
        <v>451</v>
      </c>
      <c r="C12" s="24" t="s">
        <v>452</v>
      </c>
      <c r="D12" s="24" t="s">
        <v>453</v>
      </c>
      <c r="E12" s="24" t="s">
        <v>454</v>
      </c>
      <c r="F12" s="24"/>
      <c r="G12" s="24" t="s">
        <v>455</v>
      </c>
      <c r="H12" s="6" t="s">
        <v>456</v>
      </c>
      <c r="I12" s="24"/>
      <c r="J12" s="24" t="s">
        <v>457</v>
      </c>
      <c r="K12" s="24" t="s">
        <v>458</v>
      </c>
      <c r="L12" s="24"/>
      <c r="M12" s="24"/>
      <c r="N12" s="24" t="s">
        <v>39</v>
      </c>
      <c r="O12" s="24" t="s">
        <v>459</v>
      </c>
      <c r="P12" s="24"/>
      <c r="Q12" s="24" t="s">
        <v>71</v>
      </c>
      <c r="R12" s="24"/>
      <c r="S12" s="24" t="s">
        <v>460</v>
      </c>
      <c r="T12" s="24"/>
      <c r="U12" s="24">
        <v>12</v>
      </c>
      <c r="V12" s="24"/>
      <c r="W12" s="24" t="s">
        <v>461</v>
      </c>
      <c r="X12" s="24" t="s">
        <v>459</v>
      </c>
      <c r="Y12" s="24"/>
      <c r="Z12" s="24" t="s">
        <v>462</v>
      </c>
    </row>
    <row r="13" spans="1:26" s="20" customFormat="1" ht="79.95" customHeight="1" x14ac:dyDescent="0.25">
      <c r="A13" s="44">
        <v>211</v>
      </c>
      <c r="B13" s="45">
        <v>45987</v>
      </c>
      <c r="C13" s="25" t="s">
        <v>433</v>
      </c>
      <c r="D13" s="28" t="s">
        <v>434</v>
      </c>
      <c r="E13" s="25" t="s">
        <v>435</v>
      </c>
      <c r="F13" s="25" t="s">
        <v>33</v>
      </c>
      <c r="G13" s="28" t="s">
        <v>436</v>
      </c>
      <c r="H13" s="28" t="s">
        <v>437</v>
      </c>
      <c r="I13" s="25" t="s">
        <v>33</v>
      </c>
      <c r="J13" s="28" t="s">
        <v>438</v>
      </c>
      <c r="K13" s="28" t="s">
        <v>444</v>
      </c>
      <c r="L13" s="25" t="s">
        <v>33</v>
      </c>
      <c r="M13" s="28" t="s">
        <v>439</v>
      </c>
      <c r="N13" s="25" t="s">
        <v>54</v>
      </c>
      <c r="O13" s="25" t="s">
        <v>55</v>
      </c>
      <c r="P13" s="25" t="s">
        <v>33</v>
      </c>
      <c r="Q13" s="25" t="s">
        <v>33</v>
      </c>
      <c r="R13" s="28" t="s">
        <v>445</v>
      </c>
      <c r="S13" s="28" t="s">
        <v>446</v>
      </c>
      <c r="T13" s="25" t="s">
        <v>440</v>
      </c>
      <c r="U13" s="25" t="s">
        <v>441</v>
      </c>
      <c r="V13" s="25" t="s">
        <v>33</v>
      </c>
      <c r="W13" s="25" t="s">
        <v>442</v>
      </c>
      <c r="X13" s="25" t="s">
        <v>443</v>
      </c>
      <c r="Y13" s="25" t="s">
        <v>33</v>
      </c>
      <c r="Z13" s="37" t="s">
        <v>134</v>
      </c>
    </row>
    <row r="14" spans="1:26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G1"/>
    <mergeCell ref="H1:K1"/>
    <mergeCell ref="L1:O1"/>
    <mergeCell ref="P1:T1"/>
    <mergeCell ref="U1:Z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A29" sqref="A29:XFD29"/>
    </sheetView>
  </sheetViews>
  <sheetFormatPr defaultColWidth="12.6640625" defaultRowHeight="15" customHeight="1" x14ac:dyDescent="0.3"/>
  <cols>
    <col min="1" max="1" width="12" customWidth="1"/>
    <col min="2" max="2" width="20.6640625" customWidth="1"/>
    <col min="3" max="3" width="18.109375" customWidth="1"/>
    <col min="4" max="4" width="18.33203125" customWidth="1"/>
    <col min="5" max="5" width="14.88671875" customWidth="1"/>
    <col min="6" max="6" width="14.44140625" customWidth="1"/>
    <col min="7" max="7" width="18.6640625" customWidth="1"/>
    <col min="8" max="8" width="15.44140625" customWidth="1"/>
    <col min="9" max="9" width="14.33203125" customWidth="1"/>
    <col min="10" max="10" width="24" customWidth="1"/>
    <col min="11" max="26" width="8.6640625" customWidth="1"/>
  </cols>
  <sheetData>
    <row r="1" spans="1:26" ht="83.4" customHeight="1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26" ht="14.25" customHeight="1" x14ac:dyDescent="0.3">
      <c r="A2" s="17" t="s">
        <v>29</v>
      </c>
      <c r="B2" s="19" t="s">
        <v>50</v>
      </c>
      <c r="C2" s="19" t="s">
        <v>145</v>
      </c>
      <c r="D2" s="19" t="s">
        <v>146</v>
      </c>
      <c r="E2" s="19" t="s">
        <v>147</v>
      </c>
      <c r="F2" s="19" t="s">
        <v>148</v>
      </c>
      <c r="G2" s="19" t="s">
        <v>52</v>
      </c>
      <c r="H2" s="19" t="s">
        <v>149</v>
      </c>
      <c r="I2" s="19" t="s">
        <v>48</v>
      </c>
      <c r="J2" s="19" t="s">
        <v>150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3">
      <c r="A3" s="25">
        <v>202</v>
      </c>
      <c r="B3" s="25" t="s">
        <v>50</v>
      </c>
      <c r="C3" s="25" t="s">
        <v>151</v>
      </c>
      <c r="D3" s="25" t="s">
        <v>152</v>
      </c>
      <c r="E3" s="25" t="s">
        <v>153</v>
      </c>
      <c r="F3" s="25" t="s">
        <v>154</v>
      </c>
      <c r="G3" s="25" t="s">
        <v>155</v>
      </c>
      <c r="H3" s="27" t="s">
        <v>33</v>
      </c>
      <c r="I3" s="27" t="s">
        <v>33</v>
      </c>
      <c r="J3" s="25" t="s">
        <v>156</v>
      </c>
    </row>
    <row r="4" spans="1:26" ht="14.25" customHeight="1" x14ac:dyDescent="0.3">
      <c r="A4" s="25">
        <v>202</v>
      </c>
      <c r="B4" s="25" t="s">
        <v>50</v>
      </c>
      <c r="C4" s="25" t="s">
        <v>157</v>
      </c>
      <c r="D4" s="25" t="s">
        <v>152</v>
      </c>
      <c r="E4" s="25" t="s">
        <v>153</v>
      </c>
      <c r="F4" s="25" t="s">
        <v>154</v>
      </c>
      <c r="G4" s="25" t="s">
        <v>155</v>
      </c>
      <c r="H4" s="25" t="s">
        <v>158</v>
      </c>
      <c r="I4" s="27" t="s">
        <v>157</v>
      </c>
      <c r="J4" s="25" t="s">
        <v>159</v>
      </c>
    </row>
    <row r="5" spans="1:26" ht="14.25" customHeight="1" x14ac:dyDescent="0.3">
      <c r="A5" s="25">
        <v>202</v>
      </c>
      <c r="B5" s="25" t="s">
        <v>50</v>
      </c>
      <c r="C5" s="25" t="s">
        <v>160</v>
      </c>
      <c r="D5" s="25" t="s">
        <v>152</v>
      </c>
      <c r="E5" s="25" t="s">
        <v>153</v>
      </c>
      <c r="F5" s="25" t="s">
        <v>154</v>
      </c>
      <c r="G5" s="25" t="s">
        <v>155</v>
      </c>
      <c r="H5" s="28" t="s">
        <v>368</v>
      </c>
      <c r="I5" s="27" t="s">
        <v>33</v>
      </c>
      <c r="J5" s="25" t="s">
        <v>162</v>
      </c>
    </row>
    <row r="6" spans="1:26" ht="14.25" customHeight="1" x14ac:dyDescent="0.3">
      <c r="A6" s="25">
        <v>202</v>
      </c>
      <c r="B6" s="25" t="s">
        <v>50</v>
      </c>
      <c r="C6" s="25" t="s">
        <v>163</v>
      </c>
      <c r="D6" s="25" t="s">
        <v>164</v>
      </c>
      <c r="E6" s="25" t="s">
        <v>153</v>
      </c>
      <c r="F6" s="25" t="s">
        <v>154</v>
      </c>
      <c r="G6" s="25" t="s">
        <v>52</v>
      </c>
      <c r="H6" s="25" t="s">
        <v>165</v>
      </c>
      <c r="I6" s="27" t="s">
        <v>33</v>
      </c>
      <c r="J6" s="27" t="s">
        <v>33</v>
      </c>
    </row>
    <row r="7" spans="1:26" ht="14.25" customHeight="1" x14ac:dyDescent="0.3">
      <c r="A7" s="25">
        <v>202</v>
      </c>
      <c r="B7" s="25" t="s">
        <v>50</v>
      </c>
      <c r="C7" s="27" t="s">
        <v>33</v>
      </c>
      <c r="D7" s="25" t="s">
        <v>152</v>
      </c>
      <c r="E7" s="25" t="s">
        <v>153</v>
      </c>
      <c r="F7" s="25" t="s">
        <v>154</v>
      </c>
      <c r="G7" s="25" t="s">
        <v>52</v>
      </c>
      <c r="H7" s="25" t="s">
        <v>166</v>
      </c>
      <c r="I7" s="27" t="s">
        <v>33</v>
      </c>
      <c r="J7" s="25" t="s">
        <v>167</v>
      </c>
    </row>
    <row r="8" spans="1:26" ht="14.25" customHeight="1" x14ac:dyDescent="0.3">
      <c r="A8" s="4">
        <v>203</v>
      </c>
      <c r="B8" s="4" t="s">
        <v>168</v>
      </c>
      <c r="C8" s="4" t="s">
        <v>169</v>
      </c>
      <c r="D8" s="2" t="s">
        <v>164</v>
      </c>
      <c r="E8" s="4" t="s">
        <v>33</v>
      </c>
      <c r="F8" s="4" t="s">
        <v>33</v>
      </c>
      <c r="G8" s="4" t="s">
        <v>170</v>
      </c>
      <c r="H8" s="6" t="s">
        <v>171</v>
      </c>
      <c r="I8" s="4" t="s">
        <v>33</v>
      </c>
      <c r="J8" s="4" t="s">
        <v>172</v>
      </c>
    </row>
    <row r="9" spans="1:26" ht="14.25" customHeight="1" x14ac:dyDescent="0.3">
      <c r="A9" s="4">
        <v>203</v>
      </c>
      <c r="B9" s="4" t="s">
        <v>173</v>
      </c>
      <c r="C9" s="4" t="s">
        <v>174</v>
      </c>
      <c r="D9" s="2" t="s">
        <v>164</v>
      </c>
      <c r="E9" s="4" t="s">
        <v>33</v>
      </c>
      <c r="F9" s="4" t="s">
        <v>33</v>
      </c>
      <c r="G9" s="4" t="s">
        <v>170</v>
      </c>
      <c r="H9" s="4" t="s">
        <v>175</v>
      </c>
      <c r="I9" s="4" t="s">
        <v>33</v>
      </c>
      <c r="J9" s="4" t="s">
        <v>176</v>
      </c>
    </row>
    <row r="10" spans="1:26" ht="14.25" customHeight="1" x14ac:dyDescent="0.3">
      <c r="A10" s="4">
        <v>203</v>
      </c>
      <c r="B10" s="4" t="s">
        <v>173</v>
      </c>
      <c r="C10" s="4" t="s">
        <v>177</v>
      </c>
      <c r="D10" s="2" t="s">
        <v>164</v>
      </c>
      <c r="E10" s="4" t="s">
        <v>33</v>
      </c>
      <c r="F10" s="4" t="s">
        <v>33</v>
      </c>
      <c r="G10" s="4" t="s">
        <v>170</v>
      </c>
      <c r="H10" s="4" t="s">
        <v>178</v>
      </c>
      <c r="I10" s="4" t="s">
        <v>33</v>
      </c>
      <c r="J10" s="4" t="s">
        <v>33</v>
      </c>
    </row>
    <row r="11" spans="1:26" ht="14.25" customHeight="1" x14ac:dyDescent="0.3">
      <c r="A11" s="4">
        <v>203</v>
      </c>
      <c r="B11" s="4" t="s">
        <v>179</v>
      </c>
      <c r="C11" s="4" t="s">
        <v>180</v>
      </c>
      <c r="D11" s="4" t="s">
        <v>164</v>
      </c>
      <c r="E11" s="4" t="s">
        <v>33</v>
      </c>
      <c r="F11" s="4" t="s">
        <v>33</v>
      </c>
      <c r="G11" s="4" t="s">
        <v>170</v>
      </c>
      <c r="H11" s="4" t="s">
        <v>181</v>
      </c>
      <c r="I11" s="4" t="s">
        <v>33</v>
      </c>
      <c r="J11" s="4" t="s">
        <v>182</v>
      </c>
    </row>
    <row r="12" spans="1:26" ht="14.25" customHeight="1" x14ac:dyDescent="0.3">
      <c r="A12" s="4">
        <v>203</v>
      </c>
      <c r="B12" s="4" t="s">
        <v>173</v>
      </c>
      <c r="C12" s="4" t="s">
        <v>183</v>
      </c>
      <c r="D12" s="4" t="s">
        <v>164</v>
      </c>
      <c r="E12" s="4" t="s">
        <v>33</v>
      </c>
      <c r="F12" s="4" t="s">
        <v>33</v>
      </c>
      <c r="G12" s="4" t="s">
        <v>170</v>
      </c>
      <c r="H12" s="4" t="s">
        <v>184</v>
      </c>
      <c r="I12" s="4" t="s">
        <v>33</v>
      </c>
      <c r="J12" s="4" t="s">
        <v>185</v>
      </c>
    </row>
    <row r="13" spans="1:26" ht="14.25" customHeight="1" x14ac:dyDescent="0.3">
      <c r="A13" s="4">
        <v>203</v>
      </c>
      <c r="B13" s="4" t="s">
        <v>179</v>
      </c>
      <c r="C13" s="4" t="s">
        <v>186</v>
      </c>
      <c r="D13" s="4" t="s">
        <v>164</v>
      </c>
      <c r="E13" s="4" t="s">
        <v>33</v>
      </c>
      <c r="F13" s="4" t="s">
        <v>33</v>
      </c>
      <c r="G13" s="4" t="s">
        <v>170</v>
      </c>
      <c r="H13" s="4" t="s">
        <v>187</v>
      </c>
      <c r="I13" s="4" t="s">
        <v>33</v>
      </c>
      <c r="J13" s="2" t="s">
        <v>185</v>
      </c>
    </row>
    <row r="14" spans="1:26" ht="14.25" customHeight="1" x14ac:dyDescent="0.3">
      <c r="A14" s="4">
        <v>204</v>
      </c>
      <c r="B14" s="6" t="s">
        <v>188</v>
      </c>
      <c r="C14" s="4" t="s">
        <v>189</v>
      </c>
      <c r="D14" s="4" t="s">
        <v>164</v>
      </c>
      <c r="E14" s="6" t="s">
        <v>190</v>
      </c>
      <c r="F14" s="6" t="s">
        <v>191</v>
      </c>
      <c r="G14" s="6" t="s">
        <v>192</v>
      </c>
      <c r="H14" s="6" t="s">
        <v>193</v>
      </c>
      <c r="I14" s="6" t="s">
        <v>194</v>
      </c>
      <c r="J14" s="4" t="s">
        <v>33</v>
      </c>
    </row>
    <row r="15" spans="1:26" ht="14.25" customHeight="1" x14ac:dyDescent="0.3">
      <c r="A15" s="4">
        <v>204</v>
      </c>
      <c r="B15" s="4" t="s">
        <v>173</v>
      </c>
      <c r="C15" s="6" t="s">
        <v>33</v>
      </c>
      <c r="D15" s="4" t="s">
        <v>164</v>
      </c>
      <c r="E15" s="4" t="s">
        <v>33</v>
      </c>
      <c r="F15" s="4" t="s">
        <v>33</v>
      </c>
      <c r="G15" s="4" t="s">
        <v>33</v>
      </c>
      <c r="H15" s="6" t="s">
        <v>195</v>
      </c>
      <c r="I15" s="2"/>
      <c r="J15" s="2"/>
    </row>
    <row r="16" spans="1:26" ht="14.25" customHeight="1" x14ac:dyDescent="0.3">
      <c r="A16" s="2">
        <v>204</v>
      </c>
      <c r="B16" s="2" t="s">
        <v>168</v>
      </c>
      <c r="C16" s="2" t="s">
        <v>196</v>
      </c>
      <c r="D16" s="2" t="s">
        <v>164</v>
      </c>
      <c r="E16" s="4" t="s">
        <v>33</v>
      </c>
      <c r="F16" s="4" t="s">
        <v>33</v>
      </c>
      <c r="G16" s="4" t="s">
        <v>33</v>
      </c>
      <c r="H16" s="6" t="s">
        <v>197</v>
      </c>
      <c r="I16" s="4" t="s">
        <v>33</v>
      </c>
      <c r="J16" s="4" t="s">
        <v>33</v>
      </c>
    </row>
    <row r="17" spans="1:10" ht="14.25" customHeight="1" x14ac:dyDescent="0.3">
      <c r="A17" s="12">
        <v>205</v>
      </c>
      <c r="B17" s="12" t="s">
        <v>198</v>
      </c>
      <c r="C17" s="12" t="s">
        <v>74</v>
      </c>
      <c r="D17" s="12" t="s">
        <v>164</v>
      </c>
      <c r="E17" s="12" t="s">
        <v>153</v>
      </c>
      <c r="F17" s="12" t="s">
        <v>148</v>
      </c>
      <c r="G17" s="12" t="s">
        <v>411</v>
      </c>
      <c r="H17" s="36" t="s">
        <v>200</v>
      </c>
      <c r="I17" s="12" t="s">
        <v>74</v>
      </c>
      <c r="J17" s="12" t="s">
        <v>33</v>
      </c>
    </row>
    <row r="18" spans="1:10" ht="14.25" customHeight="1" x14ac:dyDescent="0.3">
      <c r="A18" s="12">
        <v>205</v>
      </c>
      <c r="B18" s="36" t="s">
        <v>412</v>
      </c>
      <c r="C18" s="12" t="s">
        <v>201</v>
      </c>
      <c r="D18" s="12" t="s">
        <v>146</v>
      </c>
      <c r="E18" s="12" t="s">
        <v>153</v>
      </c>
      <c r="F18" s="12" t="s">
        <v>148</v>
      </c>
      <c r="G18" s="12" t="s">
        <v>202</v>
      </c>
      <c r="H18" s="36" t="s">
        <v>203</v>
      </c>
      <c r="I18" s="12" t="s">
        <v>201</v>
      </c>
      <c r="J18" s="12" t="s">
        <v>33</v>
      </c>
    </row>
    <row r="19" spans="1:10" ht="14.25" customHeight="1" x14ac:dyDescent="0.3">
      <c r="A19" s="12">
        <v>205</v>
      </c>
      <c r="B19" s="12" t="s">
        <v>204</v>
      </c>
      <c r="C19" s="12" t="s">
        <v>205</v>
      </c>
      <c r="D19" s="12" t="s">
        <v>164</v>
      </c>
      <c r="E19" s="12" t="s">
        <v>206</v>
      </c>
      <c r="F19" s="36" t="s">
        <v>207</v>
      </c>
      <c r="G19" s="12" t="s">
        <v>202</v>
      </c>
      <c r="H19" s="36" t="s">
        <v>208</v>
      </c>
      <c r="I19" s="12" t="s">
        <v>205</v>
      </c>
      <c r="J19" s="12" t="s">
        <v>33</v>
      </c>
    </row>
    <row r="20" spans="1:10" ht="14.25" customHeight="1" x14ac:dyDescent="0.3">
      <c r="A20" s="4">
        <v>206</v>
      </c>
      <c r="B20" s="4" t="s">
        <v>50</v>
      </c>
      <c r="C20" s="4" t="s">
        <v>33</v>
      </c>
      <c r="D20" s="4" t="s">
        <v>146</v>
      </c>
      <c r="E20" s="4" t="s">
        <v>33</v>
      </c>
      <c r="F20" s="4" t="s">
        <v>33</v>
      </c>
      <c r="G20" s="4" t="s">
        <v>33</v>
      </c>
      <c r="H20" s="6" t="s">
        <v>209</v>
      </c>
      <c r="I20" s="4" t="s">
        <v>33</v>
      </c>
      <c r="J20" s="4" t="s">
        <v>33</v>
      </c>
    </row>
    <row r="21" spans="1:10" ht="14.25" customHeight="1" x14ac:dyDescent="0.3">
      <c r="A21" s="4">
        <v>207</v>
      </c>
      <c r="B21" s="4" t="s">
        <v>50</v>
      </c>
      <c r="C21" s="6" t="s">
        <v>210</v>
      </c>
      <c r="D21" s="4" t="s">
        <v>146</v>
      </c>
      <c r="E21" s="4" t="s">
        <v>211</v>
      </c>
      <c r="F21" s="4" t="s">
        <v>212</v>
      </c>
      <c r="G21" s="6" t="s">
        <v>213</v>
      </c>
      <c r="H21" s="6" t="s">
        <v>214</v>
      </c>
      <c r="I21" s="2"/>
      <c r="J21" s="2"/>
    </row>
    <row r="22" spans="1:10" ht="14.25" customHeight="1" x14ac:dyDescent="0.3">
      <c r="A22" s="4">
        <v>207</v>
      </c>
      <c r="B22" s="4" t="s">
        <v>50</v>
      </c>
      <c r="C22" s="4" t="s">
        <v>215</v>
      </c>
      <c r="D22" s="4" t="s">
        <v>146</v>
      </c>
      <c r="E22" s="4" t="s">
        <v>211</v>
      </c>
      <c r="F22" s="4" t="s">
        <v>33</v>
      </c>
      <c r="G22" s="4" t="s">
        <v>216</v>
      </c>
      <c r="H22" s="4" t="s">
        <v>33</v>
      </c>
      <c r="I22" s="2"/>
      <c r="J22" s="2"/>
    </row>
    <row r="23" spans="1:10" ht="14.25" customHeight="1" x14ac:dyDescent="0.3">
      <c r="A23" s="4">
        <v>207</v>
      </c>
      <c r="B23" s="4" t="s">
        <v>217</v>
      </c>
      <c r="C23" s="4" t="s">
        <v>33</v>
      </c>
      <c r="D23" s="4" t="s">
        <v>146</v>
      </c>
      <c r="E23" s="4" t="s">
        <v>211</v>
      </c>
      <c r="F23" s="4" t="s">
        <v>218</v>
      </c>
      <c r="G23" s="4" t="s">
        <v>216</v>
      </c>
      <c r="H23" s="6" t="s">
        <v>219</v>
      </c>
      <c r="I23" s="2"/>
      <c r="J23" s="2"/>
    </row>
    <row r="24" spans="1:10" ht="14.25" customHeight="1" x14ac:dyDescent="0.3">
      <c r="A24" s="4">
        <v>207</v>
      </c>
      <c r="B24" s="4" t="s">
        <v>220</v>
      </c>
      <c r="C24" s="6" t="s">
        <v>221</v>
      </c>
      <c r="D24" s="4" t="s">
        <v>146</v>
      </c>
      <c r="E24" s="4" t="s">
        <v>222</v>
      </c>
      <c r="F24" s="4" t="s">
        <v>33</v>
      </c>
      <c r="G24" s="4" t="s">
        <v>216</v>
      </c>
      <c r="H24" s="4" t="s">
        <v>223</v>
      </c>
      <c r="I24" s="2"/>
      <c r="J24" s="2"/>
    </row>
    <row r="25" spans="1:10" ht="14.25" customHeight="1" x14ac:dyDescent="0.3">
      <c r="A25" s="4">
        <v>207</v>
      </c>
      <c r="B25" s="4" t="s">
        <v>224</v>
      </c>
      <c r="C25" s="6" t="s">
        <v>225</v>
      </c>
      <c r="D25" s="4" t="s">
        <v>146</v>
      </c>
      <c r="E25" s="4" t="s">
        <v>226</v>
      </c>
      <c r="F25" s="4" t="s">
        <v>33</v>
      </c>
      <c r="G25" s="4" t="s">
        <v>33</v>
      </c>
      <c r="H25" s="4" t="s">
        <v>227</v>
      </c>
      <c r="I25" s="2"/>
      <c r="J25" s="2"/>
    </row>
    <row r="26" spans="1:10" ht="14.25" customHeight="1" x14ac:dyDescent="0.3">
      <c r="A26" s="4">
        <v>207</v>
      </c>
      <c r="B26" s="4" t="s">
        <v>228</v>
      </c>
      <c r="C26" s="4" t="s">
        <v>229</v>
      </c>
      <c r="D26" s="4" t="s">
        <v>146</v>
      </c>
      <c r="E26" s="4" t="s">
        <v>230</v>
      </c>
      <c r="F26" s="4" t="s">
        <v>33</v>
      </c>
      <c r="G26" s="4" t="s">
        <v>33</v>
      </c>
      <c r="H26" s="4" t="s">
        <v>231</v>
      </c>
      <c r="I26" s="2"/>
      <c r="J26" s="2"/>
    </row>
    <row r="27" spans="1:10" ht="14.25" customHeight="1" x14ac:dyDescent="0.3">
      <c r="A27" s="37">
        <v>208</v>
      </c>
      <c r="B27" s="37" t="s">
        <v>50</v>
      </c>
      <c r="C27" s="39" t="s">
        <v>232</v>
      </c>
      <c r="D27" s="37" t="s">
        <v>146</v>
      </c>
      <c r="E27" s="37" t="s">
        <v>233</v>
      </c>
      <c r="F27" s="37" t="s">
        <v>234</v>
      </c>
      <c r="G27" s="37" t="s">
        <v>199</v>
      </c>
      <c r="H27" s="37" t="s">
        <v>161</v>
      </c>
      <c r="I27" s="37" t="s">
        <v>235</v>
      </c>
      <c r="J27" s="37" t="s">
        <v>427</v>
      </c>
    </row>
    <row r="28" spans="1:10" ht="55.2" customHeight="1" x14ac:dyDescent="0.3">
      <c r="A28" s="25">
        <v>209</v>
      </c>
      <c r="B28" s="28" t="s">
        <v>387</v>
      </c>
      <c r="C28" s="25" t="s">
        <v>388</v>
      </c>
      <c r="D28" s="25" t="s">
        <v>389</v>
      </c>
      <c r="E28" s="25" t="s">
        <v>390</v>
      </c>
      <c r="F28" s="28" t="s">
        <v>391</v>
      </c>
      <c r="G28" s="28" t="s">
        <v>392</v>
      </c>
      <c r="H28" s="25" t="s">
        <v>393</v>
      </c>
      <c r="I28" s="25" t="s">
        <v>388</v>
      </c>
      <c r="J28" s="25" t="s">
        <v>33</v>
      </c>
    </row>
    <row r="29" spans="1:10" s="48" customFormat="1" ht="14.25" customHeight="1" x14ac:dyDescent="0.3">
      <c r="A29" s="47">
        <v>210</v>
      </c>
      <c r="B29" s="34" t="s">
        <v>281</v>
      </c>
      <c r="C29" s="34" t="s">
        <v>463</v>
      </c>
      <c r="D29" s="34" t="s">
        <v>164</v>
      </c>
      <c r="E29" s="34" t="s">
        <v>211</v>
      </c>
      <c r="F29" s="47"/>
      <c r="G29" s="34" t="s">
        <v>71</v>
      </c>
      <c r="H29" s="47"/>
      <c r="I29" s="47"/>
      <c r="J29" s="47"/>
    </row>
    <row r="30" spans="1:10" ht="14.25" customHeight="1" x14ac:dyDescent="0.3">
      <c r="A30" s="47">
        <v>210</v>
      </c>
      <c r="B30" s="49" t="s">
        <v>464</v>
      </c>
      <c r="C30" s="49" t="s">
        <v>465</v>
      </c>
      <c r="D30" s="49" t="s">
        <v>164</v>
      </c>
      <c r="E30" s="2"/>
      <c r="F30" s="2"/>
      <c r="G30" s="49" t="s">
        <v>170</v>
      </c>
      <c r="H30" s="2"/>
      <c r="I30" s="2"/>
      <c r="J30" s="2"/>
    </row>
    <row r="31" spans="1:10" s="20" customFormat="1" ht="100.2" customHeight="1" x14ac:dyDescent="0.25">
      <c r="A31" s="25">
        <v>211</v>
      </c>
      <c r="B31" s="37" t="s">
        <v>50</v>
      </c>
      <c r="C31" s="28" t="s">
        <v>447</v>
      </c>
      <c r="D31" s="25" t="s">
        <v>33</v>
      </c>
      <c r="E31" s="25" t="s">
        <v>33</v>
      </c>
      <c r="F31" s="25" t="s">
        <v>33</v>
      </c>
      <c r="G31" s="25" t="s">
        <v>33</v>
      </c>
      <c r="H31" s="25" t="s">
        <v>33</v>
      </c>
      <c r="I31" s="25" t="s">
        <v>33</v>
      </c>
      <c r="J31" s="25" t="s">
        <v>33</v>
      </c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4.2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A23" sqref="A23:XFD23"/>
    </sheetView>
  </sheetViews>
  <sheetFormatPr defaultColWidth="12.6640625" defaultRowHeight="15" customHeight="1" x14ac:dyDescent="0.3"/>
  <cols>
    <col min="1" max="1" width="12" customWidth="1"/>
    <col min="2" max="2" width="20" customWidth="1"/>
    <col min="3" max="3" width="13.88671875" customWidth="1"/>
    <col min="4" max="4" width="16.44140625" customWidth="1"/>
    <col min="5" max="6" width="12.44140625" customWidth="1"/>
    <col min="7" max="8" width="17.33203125" customWidth="1"/>
    <col min="9" max="10" width="12.33203125" customWidth="1"/>
    <col min="11" max="11" width="22.6640625" customWidth="1"/>
    <col min="12" max="12" width="21.5546875" customWidth="1"/>
    <col min="13" max="13" width="21.6640625" customWidth="1"/>
    <col min="14" max="14" width="22.88671875" customWidth="1"/>
    <col min="15" max="26" width="8.6640625" customWidth="1"/>
  </cols>
  <sheetData>
    <row r="1" spans="1:26" ht="58.95" customHeight="1" x14ac:dyDescent="0.3">
      <c r="A1" s="1" t="s">
        <v>135</v>
      </c>
      <c r="B1" s="1" t="s">
        <v>136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237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</row>
    <row r="2" spans="1:26" s="20" customFormat="1" ht="14.25" customHeight="1" x14ac:dyDescent="0.25">
      <c r="A2" s="53" t="s">
        <v>29</v>
      </c>
      <c r="B2" s="55" t="s">
        <v>50</v>
      </c>
      <c r="C2" s="21">
        <v>20</v>
      </c>
      <c r="D2" s="22" t="s">
        <v>361</v>
      </c>
      <c r="E2" s="19">
        <v>65</v>
      </c>
      <c r="F2" s="19">
        <v>65</v>
      </c>
      <c r="G2" s="51" t="s">
        <v>33</v>
      </c>
      <c r="H2" s="51" t="s">
        <v>247</v>
      </c>
      <c r="I2" s="51" t="s">
        <v>33</v>
      </c>
      <c r="J2" s="51"/>
      <c r="K2" s="51" t="s">
        <v>248</v>
      </c>
      <c r="L2" s="51" t="s">
        <v>249</v>
      </c>
      <c r="M2" s="51" t="s">
        <v>33</v>
      </c>
      <c r="N2" s="51" t="s">
        <v>250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s="20" customFormat="1" ht="14.25" customHeight="1" x14ac:dyDescent="0.25">
      <c r="A3" s="54"/>
      <c r="B3" s="56"/>
      <c r="C3" s="21">
        <v>10</v>
      </c>
      <c r="D3" s="22" t="s">
        <v>362</v>
      </c>
      <c r="E3" s="19">
        <v>55</v>
      </c>
      <c r="F3" s="19">
        <v>55</v>
      </c>
      <c r="G3" s="52"/>
      <c r="H3" s="52"/>
      <c r="I3" s="52"/>
      <c r="J3" s="52"/>
      <c r="K3" s="52"/>
      <c r="L3" s="52"/>
      <c r="M3" s="52"/>
      <c r="N3" s="5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s="20" customFormat="1" ht="14.25" customHeight="1" x14ac:dyDescent="0.25">
      <c r="A4" s="25">
        <v>202</v>
      </c>
      <c r="B4" s="25" t="s">
        <v>50</v>
      </c>
      <c r="C4" s="30">
        <f>40*1000</f>
        <v>40000</v>
      </c>
      <c r="D4" s="25" t="s">
        <v>247</v>
      </c>
      <c r="E4" s="25">
        <f>60/60</f>
        <v>1</v>
      </c>
      <c r="F4" s="25">
        <f>300/60</f>
        <v>5</v>
      </c>
      <c r="G4" s="27" t="s">
        <v>33</v>
      </c>
      <c r="H4" s="27" t="s">
        <v>247</v>
      </c>
      <c r="I4" s="27" t="s">
        <v>33</v>
      </c>
      <c r="J4" s="27" t="s">
        <v>33</v>
      </c>
      <c r="K4" s="25" t="s">
        <v>248</v>
      </c>
      <c r="L4" s="28" t="s">
        <v>251</v>
      </c>
      <c r="M4" s="28" t="s">
        <v>251</v>
      </c>
      <c r="N4" s="27" t="s">
        <v>33</v>
      </c>
    </row>
    <row r="5" spans="1:26" s="20" customFormat="1" ht="14.25" customHeight="1" x14ac:dyDescent="0.25">
      <c r="A5" s="25">
        <v>202</v>
      </c>
      <c r="B5" s="25" t="s">
        <v>50</v>
      </c>
      <c r="C5" s="25">
        <f>30*1000</f>
        <v>30000</v>
      </c>
      <c r="D5" s="25" t="s">
        <v>247</v>
      </c>
      <c r="E5" s="25">
        <f t="shared" ref="E5:E8" si="0">60/60</f>
        <v>1</v>
      </c>
      <c r="F5" s="25">
        <f t="shared" ref="F5:F8" si="1">300/60</f>
        <v>5</v>
      </c>
      <c r="G5" s="27" t="s">
        <v>33</v>
      </c>
      <c r="H5" s="27" t="s">
        <v>247</v>
      </c>
      <c r="I5" s="27" t="s">
        <v>33</v>
      </c>
      <c r="J5" s="27" t="s">
        <v>33</v>
      </c>
      <c r="K5" s="25" t="s">
        <v>248</v>
      </c>
      <c r="L5" s="28" t="s">
        <v>251</v>
      </c>
      <c r="M5" s="28" t="s">
        <v>251</v>
      </c>
      <c r="N5" s="27" t="s">
        <v>33</v>
      </c>
    </row>
    <row r="6" spans="1:26" s="20" customFormat="1" ht="14.25" customHeight="1" x14ac:dyDescent="0.25">
      <c r="A6" s="25">
        <v>202</v>
      </c>
      <c r="B6" s="25" t="s">
        <v>50</v>
      </c>
      <c r="C6" s="25">
        <f t="shared" ref="C6:C8" si="2">10*1000</f>
        <v>10000</v>
      </c>
      <c r="D6" s="25" t="s">
        <v>247</v>
      </c>
      <c r="E6" s="25">
        <f t="shared" si="0"/>
        <v>1</v>
      </c>
      <c r="F6" s="25">
        <f t="shared" si="1"/>
        <v>5</v>
      </c>
      <c r="G6" s="27" t="s">
        <v>33</v>
      </c>
      <c r="H6" s="27" t="s">
        <v>247</v>
      </c>
      <c r="I6" s="27" t="s">
        <v>33</v>
      </c>
      <c r="J6" s="27" t="s">
        <v>33</v>
      </c>
      <c r="K6" s="25" t="s">
        <v>248</v>
      </c>
      <c r="L6" s="28" t="s">
        <v>251</v>
      </c>
      <c r="M6" s="28" t="s">
        <v>251</v>
      </c>
      <c r="N6" s="27" t="s">
        <v>33</v>
      </c>
    </row>
    <row r="7" spans="1:26" s="20" customFormat="1" ht="14.25" customHeight="1" x14ac:dyDescent="0.25">
      <c r="A7" s="25">
        <v>202</v>
      </c>
      <c r="B7" s="25" t="s">
        <v>50</v>
      </c>
      <c r="C7" s="25">
        <f t="shared" si="2"/>
        <v>10000</v>
      </c>
      <c r="D7" s="25" t="s">
        <v>247</v>
      </c>
      <c r="E7" s="25">
        <f t="shared" si="0"/>
        <v>1</v>
      </c>
      <c r="F7" s="25">
        <f t="shared" si="1"/>
        <v>5</v>
      </c>
      <c r="G7" s="27" t="s">
        <v>33</v>
      </c>
      <c r="H7" s="27" t="s">
        <v>247</v>
      </c>
      <c r="I7" s="27" t="s">
        <v>33</v>
      </c>
      <c r="J7" s="27" t="s">
        <v>33</v>
      </c>
      <c r="K7" s="25" t="s">
        <v>248</v>
      </c>
      <c r="L7" s="28" t="s">
        <v>251</v>
      </c>
      <c r="M7" s="28" t="s">
        <v>251</v>
      </c>
      <c r="N7" s="27" t="s">
        <v>33</v>
      </c>
    </row>
    <row r="8" spans="1:26" s="20" customFormat="1" ht="14.25" customHeight="1" x14ac:dyDescent="0.25">
      <c r="A8" s="25">
        <v>202</v>
      </c>
      <c r="B8" s="25" t="s">
        <v>50</v>
      </c>
      <c r="C8" s="25">
        <f t="shared" si="2"/>
        <v>10000</v>
      </c>
      <c r="D8" s="25" t="s">
        <v>247</v>
      </c>
      <c r="E8" s="25">
        <f t="shared" si="0"/>
        <v>1</v>
      </c>
      <c r="F8" s="25">
        <f t="shared" si="1"/>
        <v>5</v>
      </c>
      <c r="G8" s="27" t="s">
        <v>33</v>
      </c>
      <c r="H8" s="27" t="s">
        <v>247</v>
      </c>
      <c r="I8" s="27" t="s">
        <v>33</v>
      </c>
      <c r="J8" s="27" t="s">
        <v>33</v>
      </c>
      <c r="K8" s="25" t="s">
        <v>248</v>
      </c>
      <c r="L8" s="28" t="s">
        <v>251</v>
      </c>
      <c r="M8" s="28" t="s">
        <v>251</v>
      </c>
      <c r="N8" s="27" t="s">
        <v>33</v>
      </c>
    </row>
    <row r="9" spans="1:26" ht="14.25" customHeight="1" x14ac:dyDescent="0.3">
      <c r="A9" s="4">
        <v>203</v>
      </c>
      <c r="B9" s="4" t="s">
        <v>220</v>
      </c>
      <c r="C9" s="4">
        <v>20</v>
      </c>
      <c r="D9" s="4" t="s">
        <v>252</v>
      </c>
      <c r="E9" s="4">
        <v>100</v>
      </c>
      <c r="F9" s="4">
        <v>120</v>
      </c>
      <c r="G9" s="4" t="s">
        <v>33</v>
      </c>
      <c r="H9" s="4" t="s">
        <v>33</v>
      </c>
      <c r="I9" s="2"/>
      <c r="J9" s="2"/>
      <c r="K9" s="2" t="s">
        <v>253</v>
      </c>
      <c r="L9" s="4" t="s">
        <v>254</v>
      </c>
      <c r="M9" s="6" t="s">
        <v>255</v>
      </c>
      <c r="N9" s="4" t="s">
        <v>256</v>
      </c>
    </row>
    <row r="10" spans="1:26" ht="14.25" customHeight="1" x14ac:dyDescent="0.3">
      <c r="A10" s="4">
        <v>203</v>
      </c>
      <c r="B10" s="4" t="s">
        <v>224</v>
      </c>
      <c r="C10" s="4">
        <v>60</v>
      </c>
      <c r="D10" s="4" t="s">
        <v>252</v>
      </c>
      <c r="E10" s="4">
        <v>100</v>
      </c>
      <c r="F10" s="4">
        <v>120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253</v>
      </c>
      <c r="L10" s="4" t="s">
        <v>254</v>
      </c>
      <c r="M10" s="3" t="s">
        <v>255</v>
      </c>
      <c r="N10" s="4" t="s">
        <v>256</v>
      </c>
    </row>
    <row r="11" spans="1:26" ht="14.25" customHeight="1" x14ac:dyDescent="0.3">
      <c r="A11" s="4">
        <v>204</v>
      </c>
      <c r="B11" s="6" t="s">
        <v>257</v>
      </c>
      <c r="C11" s="4">
        <v>200</v>
      </c>
      <c r="D11" s="4" t="s">
        <v>247</v>
      </c>
      <c r="E11" s="4">
        <v>3.5</v>
      </c>
      <c r="F11" s="4">
        <v>3.5</v>
      </c>
      <c r="G11" s="4">
        <v>200</v>
      </c>
      <c r="H11" s="4" t="s">
        <v>247</v>
      </c>
      <c r="I11" s="4">
        <v>3.5</v>
      </c>
      <c r="J11" s="4">
        <v>3.5</v>
      </c>
      <c r="K11" s="4" t="s">
        <v>258</v>
      </c>
      <c r="L11" s="4" t="s">
        <v>259</v>
      </c>
      <c r="M11" s="4" t="s">
        <v>33</v>
      </c>
      <c r="N11" s="4" t="s">
        <v>33</v>
      </c>
    </row>
    <row r="12" spans="1:26" ht="14.25" customHeight="1" x14ac:dyDescent="0.3">
      <c r="A12" s="4">
        <v>204</v>
      </c>
      <c r="B12" s="4" t="s">
        <v>168</v>
      </c>
      <c r="C12" s="4">
        <v>30</v>
      </c>
      <c r="D12" s="4" t="s">
        <v>252</v>
      </c>
      <c r="E12" s="4">
        <v>100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33</v>
      </c>
      <c r="K12" s="6" t="s">
        <v>260</v>
      </c>
      <c r="L12" s="4" t="s">
        <v>259</v>
      </c>
      <c r="M12" s="4" t="s">
        <v>33</v>
      </c>
      <c r="N12" s="4" t="s">
        <v>33</v>
      </c>
    </row>
    <row r="13" spans="1:26" ht="14.25" customHeight="1" x14ac:dyDescent="0.3">
      <c r="A13" s="4">
        <v>204</v>
      </c>
      <c r="B13" s="4" t="s">
        <v>224</v>
      </c>
      <c r="C13" s="4">
        <v>35</v>
      </c>
      <c r="D13" s="4" t="s">
        <v>252</v>
      </c>
      <c r="E13" s="4">
        <v>110</v>
      </c>
      <c r="F13" s="4">
        <v>115</v>
      </c>
      <c r="G13" s="4" t="s">
        <v>33</v>
      </c>
      <c r="H13" s="4" t="s">
        <v>33</v>
      </c>
      <c r="I13" s="4" t="s">
        <v>33</v>
      </c>
      <c r="J13" s="4" t="s">
        <v>33</v>
      </c>
      <c r="K13" s="4" t="s">
        <v>261</v>
      </c>
      <c r="L13" s="4" t="s">
        <v>74</v>
      </c>
      <c r="M13" s="4">
        <v>40</v>
      </c>
      <c r="N13" s="4" t="s">
        <v>256</v>
      </c>
    </row>
    <row r="14" spans="1:26" s="15" customFormat="1" ht="37.200000000000003" customHeight="1" x14ac:dyDescent="0.25">
      <c r="A14" s="37">
        <v>205</v>
      </c>
      <c r="B14" s="38" t="s">
        <v>262</v>
      </c>
      <c r="C14" s="37">
        <f t="shared" ref="C14:C15" si="3">AVERAGE(1,2)</f>
        <v>1.5</v>
      </c>
      <c r="D14" s="37" t="s">
        <v>252</v>
      </c>
      <c r="E14" s="37">
        <v>41</v>
      </c>
      <c r="F14" s="37">
        <v>47</v>
      </c>
      <c r="G14" s="37">
        <f t="shared" ref="G14:G15" si="4">AVERAGE(1,2)</f>
        <v>1.5</v>
      </c>
      <c r="H14" s="37" t="s">
        <v>252</v>
      </c>
      <c r="I14" s="37">
        <v>48</v>
      </c>
      <c r="J14" s="37">
        <v>48</v>
      </c>
      <c r="K14" s="39" t="s">
        <v>263</v>
      </c>
      <c r="L14" s="37" t="s">
        <v>33</v>
      </c>
      <c r="M14" s="37">
        <v>600</v>
      </c>
      <c r="N14" s="37" t="s">
        <v>264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s="15" customFormat="1" ht="30.6" customHeight="1" x14ac:dyDescent="0.25">
      <c r="A15" s="37">
        <v>205</v>
      </c>
      <c r="B15" s="37" t="s">
        <v>265</v>
      </c>
      <c r="C15" s="37">
        <f t="shared" si="3"/>
        <v>1.5</v>
      </c>
      <c r="D15" s="37" t="s">
        <v>252</v>
      </c>
      <c r="E15" s="37">
        <v>139</v>
      </c>
      <c r="F15" s="37">
        <v>139</v>
      </c>
      <c r="G15" s="37">
        <f t="shared" si="4"/>
        <v>1.5</v>
      </c>
      <c r="H15" s="37" t="s">
        <v>252</v>
      </c>
      <c r="I15" s="37">
        <v>232</v>
      </c>
      <c r="J15" s="37">
        <v>232</v>
      </c>
      <c r="K15" s="39" t="s">
        <v>263</v>
      </c>
      <c r="L15" s="37" t="s">
        <v>33</v>
      </c>
      <c r="M15" s="37">
        <v>600</v>
      </c>
      <c r="N15" s="37" t="s">
        <v>264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s="15" customFormat="1" ht="27.6" customHeight="1" x14ac:dyDescent="0.25">
      <c r="A16" s="37">
        <v>205</v>
      </c>
      <c r="B16" s="37" t="s">
        <v>266</v>
      </c>
      <c r="C16" s="37">
        <v>2</v>
      </c>
      <c r="D16" s="37" t="s">
        <v>252</v>
      </c>
      <c r="E16" s="37">
        <v>87</v>
      </c>
      <c r="F16" s="37">
        <v>87</v>
      </c>
      <c r="G16" s="37">
        <v>2</v>
      </c>
      <c r="H16" s="37" t="s">
        <v>252</v>
      </c>
      <c r="I16" s="37">
        <v>139</v>
      </c>
      <c r="J16" s="37">
        <v>139</v>
      </c>
      <c r="K16" s="39" t="s">
        <v>263</v>
      </c>
      <c r="L16" s="37" t="s">
        <v>33</v>
      </c>
      <c r="M16" s="37">
        <v>600</v>
      </c>
      <c r="N16" s="37" t="s">
        <v>264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s="15" customFormat="1" ht="35.4" customHeight="1" x14ac:dyDescent="0.25">
      <c r="A17" s="37">
        <v>205</v>
      </c>
      <c r="B17" s="37" t="s">
        <v>267</v>
      </c>
      <c r="C17" s="37">
        <f>AVERAGE(1,2)</f>
        <v>1.5</v>
      </c>
      <c r="D17" s="37" t="s">
        <v>252</v>
      </c>
      <c r="E17" s="37">
        <v>130</v>
      </c>
      <c r="F17" s="37">
        <v>130</v>
      </c>
      <c r="G17" s="37">
        <f>AVERAGE(1,2)</f>
        <v>1.5</v>
      </c>
      <c r="H17" s="37" t="s">
        <v>252</v>
      </c>
      <c r="I17" s="37">
        <v>130</v>
      </c>
      <c r="J17" s="37">
        <v>130</v>
      </c>
      <c r="K17" s="39" t="s">
        <v>268</v>
      </c>
      <c r="L17" s="37" t="s">
        <v>33</v>
      </c>
      <c r="M17" s="37" t="s">
        <v>269</v>
      </c>
      <c r="N17" s="37" t="s">
        <v>33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s="15" customFormat="1" ht="32.4" customHeight="1" x14ac:dyDescent="0.25">
      <c r="A18" s="37">
        <v>205</v>
      </c>
      <c r="B18" s="37" t="s">
        <v>270</v>
      </c>
      <c r="C18" s="37">
        <v>1</v>
      </c>
      <c r="D18" s="37" t="s">
        <v>247</v>
      </c>
      <c r="E18" s="37">
        <v>91</v>
      </c>
      <c r="F18" s="37">
        <v>91</v>
      </c>
      <c r="G18" s="37">
        <v>1</v>
      </c>
      <c r="H18" s="37" t="s">
        <v>247</v>
      </c>
      <c r="I18" s="37" t="s">
        <v>33</v>
      </c>
      <c r="J18" s="37" t="s">
        <v>33</v>
      </c>
      <c r="K18" s="39" t="s">
        <v>263</v>
      </c>
      <c r="L18" s="37" t="s">
        <v>33</v>
      </c>
      <c r="M18" s="37">
        <v>600</v>
      </c>
      <c r="N18" s="37" t="s">
        <v>264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s="15" customFormat="1" ht="40.200000000000003" customHeight="1" x14ac:dyDescent="0.25">
      <c r="A19" s="37">
        <v>205</v>
      </c>
      <c r="B19" s="37" t="s">
        <v>271</v>
      </c>
      <c r="C19" s="37">
        <v>1</v>
      </c>
      <c r="D19" s="37" t="s">
        <v>247</v>
      </c>
      <c r="E19" s="37">
        <v>35</v>
      </c>
      <c r="F19" s="37">
        <v>35</v>
      </c>
      <c r="G19" s="37">
        <v>1</v>
      </c>
      <c r="H19" s="37" t="s">
        <v>247</v>
      </c>
      <c r="I19" s="37" t="s">
        <v>33</v>
      </c>
      <c r="J19" s="37" t="s">
        <v>33</v>
      </c>
      <c r="K19" s="39" t="s">
        <v>263</v>
      </c>
      <c r="L19" s="37" t="s">
        <v>33</v>
      </c>
      <c r="M19" s="37">
        <v>600</v>
      </c>
      <c r="N19" s="37" t="s">
        <v>264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s="15" customFormat="1" ht="34.200000000000003" customHeight="1" x14ac:dyDescent="0.25">
      <c r="A20" s="37">
        <v>205</v>
      </c>
      <c r="B20" s="37" t="s">
        <v>272</v>
      </c>
      <c r="C20" s="37">
        <v>1</v>
      </c>
      <c r="D20" s="37" t="s">
        <v>247</v>
      </c>
      <c r="E20" s="37">
        <v>80</v>
      </c>
      <c r="F20" s="37">
        <v>80</v>
      </c>
      <c r="G20" s="37">
        <v>1</v>
      </c>
      <c r="H20" s="37" t="s">
        <v>247</v>
      </c>
      <c r="I20" s="37" t="s">
        <v>33</v>
      </c>
      <c r="J20" s="37" t="s">
        <v>33</v>
      </c>
      <c r="K20" s="37" t="s">
        <v>273</v>
      </c>
      <c r="L20" s="37" t="s">
        <v>33</v>
      </c>
      <c r="M20" s="37" t="s">
        <v>33</v>
      </c>
      <c r="N20" s="37" t="s">
        <v>274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3">
      <c r="A21" s="4">
        <v>206</v>
      </c>
      <c r="B21" s="4" t="s">
        <v>50</v>
      </c>
      <c r="C21" s="2">
        <f>105*50</f>
        <v>5250</v>
      </c>
      <c r="D21" s="4" t="s">
        <v>247</v>
      </c>
      <c r="E21" s="9" t="s">
        <v>33</v>
      </c>
      <c r="F21" s="4" t="s">
        <v>33</v>
      </c>
      <c r="G21" s="4">
        <v>1530</v>
      </c>
      <c r="H21" s="4" t="s">
        <v>247</v>
      </c>
      <c r="I21" s="6">
        <f>150/50</f>
        <v>3</v>
      </c>
      <c r="J21" s="4">
        <f>400/50</f>
        <v>8</v>
      </c>
      <c r="K21" s="4" t="s">
        <v>33</v>
      </c>
      <c r="L21" s="4" t="s">
        <v>33</v>
      </c>
      <c r="M21" s="4" t="s">
        <v>33</v>
      </c>
      <c r="N21" s="4" t="s">
        <v>33</v>
      </c>
    </row>
    <row r="22" spans="1:26" ht="14.25" customHeight="1" x14ac:dyDescent="0.3">
      <c r="A22" s="4">
        <v>207</v>
      </c>
      <c r="B22" s="4" t="s">
        <v>50</v>
      </c>
      <c r="C22" s="4">
        <f>600*60</f>
        <v>36000</v>
      </c>
      <c r="D22" s="4" t="s">
        <v>247</v>
      </c>
      <c r="E22" s="10">
        <f>100/60</f>
        <v>1.6666666666666667</v>
      </c>
      <c r="F22" s="10">
        <f>250/60</f>
        <v>4.166666666666667</v>
      </c>
      <c r="G22" s="4" t="s">
        <v>33</v>
      </c>
      <c r="H22" s="4" t="s">
        <v>33</v>
      </c>
      <c r="I22" s="4" t="s">
        <v>33</v>
      </c>
      <c r="J22" s="4" t="s">
        <v>33</v>
      </c>
      <c r="K22" s="4" t="s">
        <v>275</v>
      </c>
      <c r="L22" s="4" t="s">
        <v>276</v>
      </c>
      <c r="M22" s="4" t="s">
        <v>277</v>
      </c>
      <c r="N22" s="4" t="s">
        <v>33</v>
      </c>
    </row>
    <row r="23" spans="1:26" ht="14.25" customHeight="1" x14ac:dyDescent="0.3">
      <c r="A23" s="4">
        <v>207</v>
      </c>
      <c r="B23" s="4" t="s">
        <v>278</v>
      </c>
      <c r="C23" s="4" t="s">
        <v>33</v>
      </c>
      <c r="D23" s="4" t="s">
        <v>33</v>
      </c>
      <c r="E23" s="4" t="s">
        <v>33</v>
      </c>
      <c r="F23" s="4" t="s">
        <v>33</v>
      </c>
      <c r="G23" s="4">
        <v>2560</v>
      </c>
      <c r="H23" s="4" t="s">
        <v>247</v>
      </c>
      <c r="I23" s="4">
        <v>50</v>
      </c>
      <c r="J23" s="4">
        <v>180</v>
      </c>
      <c r="K23" s="4" t="s">
        <v>279</v>
      </c>
      <c r="L23" s="4" t="s">
        <v>276</v>
      </c>
      <c r="M23" s="4">
        <v>2000</v>
      </c>
      <c r="N23" s="4" t="s">
        <v>280</v>
      </c>
    </row>
    <row r="24" spans="1:26" ht="14.25" customHeight="1" x14ac:dyDescent="0.3">
      <c r="A24" s="4">
        <v>207</v>
      </c>
      <c r="B24" s="4" t="s">
        <v>281</v>
      </c>
      <c r="C24" s="4" t="s">
        <v>33</v>
      </c>
      <c r="D24" s="4" t="s">
        <v>33</v>
      </c>
      <c r="E24" s="4">
        <v>50</v>
      </c>
      <c r="F24" s="4" t="s">
        <v>33</v>
      </c>
      <c r="G24" s="4" t="s">
        <v>33</v>
      </c>
      <c r="H24" s="4" t="s">
        <v>33</v>
      </c>
      <c r="I24" s="4" t="s">
        <v>33</v>
      </c>
      <c r="J24" s="4" t="s">
        <v>33</v>
      </c>
      <c r="K24" s="4" t="s">
        <v>282</v>
      </c>
      <c r="L24" s="4" t="s">
        <v>33</v>
      </c>
      <c r="M24" s="4" t="s">
        <v>33</v>
      </c>
      <c r="N24" s="4" t="s">
        <v>33</v>
      </c>
    </row>
    <row r="25" spans="1:26" ht="14.25" customHeight="1" x14ac:dyDescent="0.3">
      <c r="A25" s="4">
        <v>207</v>
      </c>
      <c r="B25" s="4" t="s">
        <v>283</v>
      </c>
      <c r="C25" s="4">
        <v>831</v>
      </c>
      <c r="D25" s="4" t="s">
        <v>247</v>
      </c>
      <c r="E25" s="4">
        <v>60</v>
      </c>
      <c r="F25" s="4" t="s">
        <v>33</v>
      </c>
      <c r="G25" s="4" t="s">
        <v>33</v>
      </c>
      <c r="H25" s="4" t="s">
        <v>33</v>
      </c>
      <c r="I25" s="4" t="s">
        <v>33</v>
      </c>
      <c r="J25" s="4" t="s">
        <v>33</v>
      </c>
      <c r="K25" s="4" t="s">
        <v>275</v>
      </c>
      <c r="L25" s="4" t="s">
        <v>276</v>
      </c>
      <c r="M25" s="2">
        <f t="shared" ref="M25:M26" si="5">AVERAGE(300,500)</f>
        <v>400</v>
      </c>
      <c r="N25" s="4" t="s">
        <v>284</v>
      </c>
    </row>
    <row r="26" spans="1:26" ht="14.25" customHeight="1" x14ac:dyDescent="0.3">
      <c r="A26" s="4">
        <v>207</v>
      </c>
      <c r="B26" s="4" t="s">
        <v>285</v>
      </c>
      <c r="C26" s="4">
        <v>418</v>
      </c>
      <c r="D26" s="4" t="s">
        <v>247</v>
      </c>
      <c r="E26" s="4">
        <v>50</v>
      </c>
      <c r="F26" s="4" t="s">
        <v>33</v>
      </c>
      <c r="G26" s="4" t="s">
        <v>33</v>
      </c>
      <c r="H26" s="4" t="s">
        <v>33</v>
      </c>
      <c r="I26" s="4" t="s">
        <v>33</v>
      </c>
      <c r="J26" s="4" t="s">
        <v>33</v>
      </c>
      <c r="K26" s="4" t="s">
        <v>275</v>
      </c>
      <c r="L26" s="4" t="s">
        <v>276</v>
      </c>
      <c r="M26" s="2">
        <f t="shared" si="5"/>
        <v>400</v>
      </c>
      <c r="N26" s="4" t="s">
        <v>284</v>
      </c>
    </row>
    <row r="27" spans="1:26" ht="14.25" customHeight="1" x14ac:dyDescent="0.3">
      <c r="A27" s="4">
        <v>207</v>
      </c>
      <c r="B27" s="4" t="s">
        <v>228</v>
      </c>
      <c r="C27" s="4">
        <v>30</v>
      </c>
      <c r="D27" s="4" t="s">
        <v>247</v>
      </c>
      <c r="E27" s="4">
        <v>160</v>
      </c>
      <c r="F27" s="4">
        <v>200</v>
      </c>
      <c r="G27" s="4" t="s">
        <v>33</v>
      </c>
      <c r="H27" s="4" t="s">
        <v>33</v>
      </c>
      <c r="I27" s="4" t="s">
        <v>33</v>
      </c>
      <c r="J27" s="4" t="s">
        <v>33</v>
      </c>
      <c r="K27" s="4" t="s">
        <v>286</v>
      </c>
      <c r="L27" s="4" t="s">
        <v>33</v>
      </c>
      <c r="M27" s="24" t="s">
        <v>251</v>
      </c>
      <c r="N27" s="4" t="s">
        <v>33</v>
      </c>
    </row>
    <row r="28" spans="1:26" s="15" customFormat="1" ht="34.200000000000003" customHeight="1" x14ac:dyDescent="0.25">
      <c r="A28" s="37">
        <v>208</v>
      </c>
      <c r="B28" s="37" t="s">
        <v>50</v>
      </c>
      <c r="C28" s="37">
        <v>480</v>
      </c>
      <c r="D28" s="37" t="s">
        <v>247</v>
      </c>
      <c r="E28" s="43">
        <f t="shared" ref="E28:F28" si="6">350/60</f>
        <v>5.833333333333333</v>
      </c>
      <c r="F28" s="43">
        <f t="shared" si="6"/>
        <v>5.833333333333333</v>
      </c>
      <c r="G28" s="37" t="s">
        <v>33</v>
      </c>
      <c r="H28" s="37" t="s">
        <v>33</v>
      </c>
      <c r="I28" s="37" t="s">
        <v>33</v>
      </c>
      <c r="J28" s="37" t="s">
        <v>33</v>
      </c>
      <c r="K28" s="37" t="s">
        <v>428</v>
      </c>
      <c r="L28" s="37" t="s">
        <v>33</v>
      </c>
      <c r="M28" s="37" t="s">
        <v>429</v>
      </c>
      <c r="N28" s="37" t="s">
        <v>33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s="20" customFormat="1" ht="33" customHeight="1" x14ac:dyDescent="0.25">
      <c r="A29" s="25">
        <v>209</v>
      </c>
      <c r="B29" s="25" t="s">
        <v>50</v>
      </c>
      <c r="C29" s="25">
        <v>100</v>
      </c>
      <c r="D29" s="25" t="s">
        <v>247</v>
      </c>
      <c r="E29" s="25">
        <f>1100/20</f>
        <v>55</v>
      </c>
      <c r="F29" s="25">
        <f>1200/20</f>
        <v>60</v>
      </c>
      <c r="G29" s="25" t="s">
        <v>33</v>
      </c>
      <c r="H29" s="25" t="s">
        <v>33</v>
      </c>
      <c r="I29" s="25" t="s">
        <v>33</v>
      </c>
      <c r="J29" s="25" t="s">
        <v>33</v>
      </c>
      <c r="K29" s="28" t="s">
        <v>394</v>
      </c>
      <c r="L29" s="25" t="s">
        <v>395</v>
      </c>
      <c r="M29" s="25" t="s">
        <v>33</v>
      </c>
      <c r="N29" s="25" t="s">
        <v>396</v>
      </c>
    </row>
    <row r="30" spans="1:26" s="48" customFormat="1" ht="14.25" customHeight="1" x14ac:dyDescent="0.3">
      <c r="A30" s="47">
        <v>210</v>
      </c>
      <c r="B30" s="34" t="s">
        <v>466</v>
      </c>
      <c r="C30" s="47">
        <v>11.5</v>
      </c>
      <c r="D30" s="34" t="s">
        <v>341</v>
      </c>
      <c r="E30" s="47">
        <v>2</v>
      </c>
      <c r="F30" s="47"/>
      <c r="G30" s="47"/>
      <c r="H30" s="47"/>
      <c r="I30" s="47"/>
      <c r="J30" s="47"/>
      <c r="K30" s="34" t="s">
        <v>467</v>
      </c>
      <c r="L30" s="34" t="s">
        <v>276</v>
      </c>
      <c r="M30" s="47"/>
      <c r="N30" s="47"/>
    </row>
    <row r="31" spans="1:26" s="48" customFormat="1" ht="14.25" customHeight="1" x14ac:dyDescent="0.3">
      <c r="A31" s="47">
        <v>210</v>
      </c>
      <c r="B31" s="34" t="s">
        <v>468</v>
      </c>
      <c r="C31" s="47">
        <v>11.5</v>
      </c>
      <c r="D31" s="34" t="s">
        <v>341</v>
      </c>
      <c r="E31" s="47">
        <v>3.5</v>
      </c>
      <c r="F31" s="47"/>
      <c r="G31" s="47"/>
      <c r="H31" s="47"/>
      <c r="I31" s="47"/>
      <c r="J31" s="47"/>
      <c r="K31" s="34" t="s">
        <v>467</v>
      </c>
      <c r="L31" s="34"/>
      <c r="M31" s="47"/>
      <c r="N31" s="47"/>
    </row>
    <row r="32" spans="1:26" ht="14.25" customHeight="1" x14ac:dyDescent="0.3">
      <c r="A32" s="47">
        <v>210</v>
      </c>
      <c r="B32" s="49" t="s">
        <v>464</v>
      </c>
      <c r="C32" s="2">
        <v>380</v>
      </c>
      <c r="D32" s="49" t="s">
        <v>341</v>
      </c>
      <c r="E32" s="50" t="s">
        <v>469</v>
      </c>
      <c r="F32" s="50" t="s">
        <v>470</v>
      </c>
      <c r="G32" s="2"/>
      <c r="H32" s="2"/>
      <c r="I32" s="2"/>
      <c r="J32" s="2"/>
      <c r="K32" s="34" t="s">
        <v>467</v>
      </c>
      <c r="L32" s="34" t="s">
        <v>471</v>
      </c>
      <c r="M32" s="49" t="s">
        <v>472</v>
      </c>
      <c r="N32" s="49" t="s">
        <v>396</v>
      </c>
    </row>
    <row r="33" spans="1:14" s="20" customFormat="1" ht="14.25" customHeight="1" x14ac:dyDescent="0.25">
      <c r="A33" s="46">
        <v>211</v>
      </c>
      <c r="B33" s="25" t="s">
        <v>50</v>
      </c>
      <c r="C33" s="25">
        <f>13000*60</f>
        <v>780000</v>
      </c>
      <c r="D33" s="25" t="s">
        <v>247</v>
      </c>
      <c r="E33" s="25">
        <f>300/60</f>
        <v>5</v>
      </c>
      <c r="F33" s="32">
        <f>500/60</f>
        <v>8.3333333333333339</v>
      </c>
      <c r="G33" s="25" t="s">
        <v>33</v>
      </c>
      <c r="H33" s="25" t="s">
        <v>33</v>
      </c>
      <c r="I33" s="25" t="s">
        <v>33</v>
      </c>
      <c r="J33" s="25" t="s">
        <v>33</v>
      </c>
      <c r="K33" s="25" t="s">
        <v>33</v>
      </c>
      <c r="L33" s="25"/>
      <c r="M33" s="25"/>
      <c r="N33" s="25"/>
    </row>
    <row r="34" spans="1:14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ht="14.2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ht="14.2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ht="14.2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</sheetData>
  <mergeCells count="10">
    <mergeCell ref="K2:K3"/>
    <mergeCell ref="L2:L3"/>
    <mergeCell ref="M2:M3"/>
    <mergeCell ref="N2:N3"/>
    <mergeCell ref="A2:A3"/>
    <mergeCell ref="B2:B3"/>
    <mergeCell ref="G2:G3"/>
    <mergeCell ref="H2:H3"/>
    <mergeCell ref="I2:I3"/>
    <mergeCell ref="J2:J3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8"/>
  <sheetViews>
    <sheetView tabSelected="1" zoomScaleNormal="100" workbookViewId="0">
      <pane xSplit="1" ySplit="1" topLeftCell="B40" activePane="bottomRight" state="frozen"/>
      <selection pane="topRight" activeCell="B1" sqref="B1"/>
      <selection pane="bottomLeft" activeCell="A2" sqref="A2"/>
      <selection pane="bottomRight" activeCell="A27" sqref="A27:XFD27"/>
    </sheetView>
  </sheetViews>
  <sheetFormatPr defaultColWidth="12.6640625" defaultRowHeight="15" customHeight="1" x14ac:dyDescent="0.3"/>
  <cols>
    <col min="1" max="1" width="12" customWidth="1"/>
    <col min="2" max="2" width="26.6640625" customWidth="1"/>
    <col min="3" max="3" width="19.6640625" customWidth="1"/>
    <col min="4" max="4" width="13.109375" customWidth="1"/>
    <col min="5" max="5" width="12.44140625" customWidth="1"/>
    <col min="6" max="6" width="22.88671875" customWidth="1"/>
    <col min="7" max="7" width="13.33203125" customWidth="1"/>
    <col min="8" max="8" width="15.33203125" customWidth="1"/>
    <col min="9" max="9" width="14.5546875" customWidth="1"/>
    <col min="10" max="10" width="12.88671875" customWidth="1"/>
    <col min="11" max="11" width="12.33203125" customWidth="1"/>
    <col min="12" max="12" width="28.6640625" customWidth="1"/>
    <col min="13" max="13" width="16.6640625" customWidth="1"/>
    <col min="14" max="14" width="12.44140625" customWidth="1"/>
    <col min="15" max="15" width="18.44140625" customWidth="1"/>
    <col min="16" max="16" width="15.88671875" customWidth="1"/>
    <col min="17" max="17" width="13.33203125" customWidth="1"/>
    <col min="18" max="26" width="8.6640625" customWidth="1"/>
  </cols>
  <sheetData>
    <row r="1" spans="1:26" ht="71.400000000000006" customHeight="1" x14ac:dyDescent="0.3">
      <c r="A1" s="1" t="s">
        <v>135</v>
      </c>
      <c r="B1" s="1" t="s">
        <v>136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237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  <c r="P1" s="1" t="s">
        <v>296</v>
      </c>
      <c r="Q1" s="1" t="s">
        <v>299</v>
      </c>
    </row>
    <row r="2" spans="1:26" s="20" customFormat="1" ht="46.95" customHeight="1" x14ac:dyDescent="0.25">
      <c r="A2" s="17" t="s">
        <v>29</v>
      </c>
      <c r="B2" s="19" t="s">
        <v>50</v>
      </c>
      <c r="C2" s="19" t="s">
        <v>300</v>
      </c>
      <c r="D2" s="19" t="s">
        <v>301</v>
      </c>
      <c r="E2" s="19" t="s">
        <v>302</v>
      </c>
      <c r="F2" s="19" t="s">
        <v>303</v>
      </c>
      <c r="G2" s="19" t="s">
        <v>33</v>
      </c>
      <c r="H2" s="19" t="s">
        <v>304</v>
      </c>
      <c r="I2" s="19">
        <v>40</v>
      </c>
      <c r="J2" s="19" t="s">
        <v>305</v>
      </c>
      <c r="K2" s="19">
        <v>28</v>
      </c>
      <c r="L2" s="19" t="s">
        <v>33</v>
      </c>
      <c r="M2" s="19" t="s">
        <v>363</v>
      </c>
      <c r="N2" s="19" t="s">
        <v>33</v>
      </c>
      <c r="O2" s="19" t="s">
        <v>364</v>
      </c>
      <c r="P2" s="19" t="s">
        <v>365</v>
      </c>
      <c r="Q2" s="19" t="s">
        <v>33</v>
      </c>
      <c r="R2" s="23"/>
      <c r="S2" s="23"/>
      <c r="T2" s="23"/>
      <c r="U2" s="23"/>
      <c r="V2" s="23"/>
      <c r="W2" s="23"/>
      <c r="X2" s="23"/>
      <c r="Y2" s="23"/>
      <c r="Z2" s="23"/>
    </row>
    <row r="3" spans="1:26" s="20" customFormat="1" ht="45.6" customHeight="1" x14ac:dyDescent="0.25">
      <c r="A3" s="17" t="s">
        <v>29</v>
      </c>
      <c r="B3" s="19" t="s">
        <v>50</v>
      </c>
      <c r="C3" s="19" t="s">
        <v>300</v>
      </c>
      <c r="D3" s="19" t="s">
        <v>301</v>
      </c>
      <c r="E3" s="19" t="s">
        <v>302</v>
      </c>
      <c r="F3" s="19" t="s">
        <v>306</v>
      </c>
      <c r="G3" s="19" t="s">
        <v>33</v>
      </c>
      <c r="H3" s="19" t="s">
        <v>307</v>
      </c>
      <c r="I3" s="19">
        <v>140</v>
      </c>
      <c r="J3" s="19" t="s">
        <v>305</v>
      </c>
      <c r="K3" s="19">
        <v>18.489999999999998</v>
      </c>
      <c r="L3" s="19" t="s">
        <v>33</v>
      </c>
      <c r="M3" s="19" t="s">
        <v>363</v>
      </c>
      <c r="N3" s="19" t="s">
        <v>33</v>
      </c>
      <c r="O3" s="19" t="s">
        <v>364</v>
      </c>
      <c r="P3" s="19" t="s">
        <v>365</v>
      </c>
      <c r="Q3" s="19" t="s">
        <v>33</v>
      </c>
      <c r="R3" s="23"/>
      <c r="S3" s="23"/>
      <c r="T3" s="23"/>
      <c r="U3" s="23"/>
      <c r="V3" s="23"/>
      <c r="W3" s="23"/>
      <c r="X3" s="23"/>
      <c r="Y3" s="23"/>
      <c r="Z3" s="23"/>
    </row>
    <row r="4" spans="1:26" s="20" customFormat="1" ht="43.95" customHeight="1" x14ac:dyDescent="0.25">
      <c r="A4" s="17" t="s">
        <v>29</v>
      </c>
      <c r="B4" s="19" t="s">
        <v>50</v>
      </c>
      <c r="C4" s="19" t="s">
        <v>300</v>
      </c>
      <c r="D4" s="19" t="s">
        <v>301</v>
      </c>
      <c r="E4" s="19" t="s">
        <v>302</v>
      </c>
      <c r="F4" s="19" t="s">
        <v>308</v>
      </c>
      <c r="G4" s="19" t="s">
        <v>33</v>
      </c>
      <c r="H4" s="19" t="s">
        <v>309</v>
      </c>
      <c r="I4" s="19">
        <v>20</v>
      </c>
      <c r="J4" s="19" t="s">
        <v>305</v>
      </c>
      <c r="K4" s="19">
        <v>28</v>
      </c>
      <c r="L4" s="19" t="s">
        <v>33</v>
      </c>
      <c r="M4" s="19" t="s">
        <v>363</v>
      </c>
      <c r="N4" s="19" t="s">
        <v>33</v>
      </c>
      <c r="O4" s="19" t="s">
        <v>364</v>
      </c>
      <c r="P4" s="19" t="s">
        <v>365</v>
      </c>
      <c r="Q4" s="19" t="s">
        <v>33</v>
      </c>
      <c r="R4" s="23"/>
      <c r="S4" s="23"/>
      <c r="T4" s="23"/>
      <c r="U4" s="23"/>
      <c r="V4" s="23"/>
      <c r="W4" s="23"/>
      <c r="X4" s="23"/>
      <c r="Y4" s="23"/>
      <c r="Z4" s="23"/>
    </row>
    <row r="5" spans="1:26" s="20" customFormat="1" ht="42" customHeight="1" x14ac:dyDescent="0.25">
      <c r="A5" s="25">
        <v>202</v>
      </c>
      <c r="B5" s="25" t="s">
        <v>50</v>
      </c>
      <c r="C5" s="25" t="s">
        <v>310</v>
      </c>
      <c r="D5" s="25" t="s">
        <v>311</v>
      </c>
      <c r="E5" s="25" t="s">
        <v>312</v>
      </c>
      <c r="F5" s="28" t="s">
        <v>369</v>
      </c>
      <c r="G5" s="27" t="s">
        <v>33</v>
      </c>
      <c r="H5" s="25" t="s">
        <v>313</v>
      </c>
      <c r="I5" s="25">
        <v>300</v>
      </c>
      <c r="J5" s="25" t="s">
        <v>314</v>
      </c>
      <c r="K5" s="25">
        <v>140</v>
      </c>
      <c r="L5" s="28">
        <v>0.6</v>
      </c>
      <c r="M5" s="25" t="s">
        <v>370</v>
      </c>
      <c r="N5" s="27" t="s">
        <v>33</v>
      </c>
      <c r="O5" s="25">
        <v>0.2</v>
      </c>
      <c r="P5" s="25" t="s">
        <v>370</v>
      </c>
      <c r="Q5" s="31">
        <f t="shared" ref="Q5:Q9" si="0">IF(OR(ISBLANK(O5), O5="-"), "-", O5/L5)</f>
        <v>0.33333333333333337</v>
      </c>
    </row>
    <row r="6" spans="1:26" s="20" customFormat="1" ht="46.95" customHeight="1" x14ac:dyDescent="0.25">
      <c r="A6" s="25">
        <v>202</v>
      </c>
      <c r="B6" s="25" t="s">
        <v>50</v>
      </c>
      <c r="C6" s="25" t="s">
        <v>310</v>
      </c>
      <c r="D6" s="25" t="s">
        <v>311</v>
      </c>
      <c r="E6" s="25" t="s">
        <v>312</v>
      </c>
      <c r="F6" s="28" t="s">
        <v>371</v>
      </c>
      <c r="G6" s="27" t="s">
        <v>33</v>
      </c>
      <c r="H6" s="25" t="s">
        <v>313</v>
      </c>
      <c r="I6" s="25">
        <v>200</v>
      </c>
      <c r="J6" s="25" t="s">
        <v>314</v>
      </c>
      <c r="K6" s="25">
        <v>120</v>
      </c>
      <c r="L6" s="28">
        <v>0.6</v>
      </c>
      <c r="M6" s="25" t="s">
        <v>370</v>
      </c>
      <c r="N6" s="27" t="s">
        <v>33</v>
      </c>
      <c r="O6" s="25">
        <v>0.2</v>
      </c>
      <c r="P6" s="25" t="s">
        <v>370</v>
      </c>
      <c r="Q6" s="31">
        <f t="shared" si="0"/>
        <v>0.33333333333333337</v>
      </c>
    </row>
    <row r="7" spans="1:26" s="20" customFormat="1" ht="46.95" customHeight="1" x14ac:dyDescent="0.25">
      <c r="A7" s="25">
        <v>202</v>
      </c>
      <c r="B7" s="25" t="s">
        <v>50</v>
      </c>
      <c r="C7" s="25" t="s">
        <v>310</v>
      </c>
      <c r="D7" s="25" t="s">
        <v>311</v>
      </c>
      <c r="E7" s="25" t="s">
        <v>312</v>
      </c>
      <c r="F7" s="28" t="s">
        <v>371</v>
      </c>
      <c r="G7" s="27" t="s">
        <v>33</v>
      </c>
      <c r="H7" s="25" t="s">
        <v>313</v>
      </c>
      <c r="I7" s="25">
        <v>50</v>
      </c>
      <c r="J7" s="25" t="s">
        <v>314</v>
      </c>
      <c r="K7" s="25">
        <v>130</v>
      </c>
      <c r="L7" s="28">
        <v>0.6</v>
      </c>
      <c r="M7" s="25" t="s">
        <v>370</v>
      </c>
      <c r="N7" s="27" t="s">
        <v>33</v>
      </c>
      <c r="O7" s="25">
        <v>0.2</v>
      </c>
      <c r="P7" s="25" t="s">
        <v>370</v>
      </c>
      <c r="Q7" s="31">
        <f t="shared" si="0"/>
        <v>0.33333333333333337</v>
      </c>
    </row>
    <row r="8" spans="1:26" s="20" customFormat="1" ht="43.2" customHeight="1" x14ac:dyDescent="0.25">
      <c r="A8" s="25">
        <v>202</v>
      </c>
      <c r="B8" s="25" t="s">
        <v>50</v>
      </c>
      <c r="C8" s="25" t="s">
        <v>310</v>
      </c>
      <c r="D8" s="25" t="s">
        <v>311</v>
      </c>
      <c r="E8" s="25" t="s">
        <v>312</v>
      </c>
      <c r="F8" s="28" t="s">
        <v>371</v>
      </c>
      <c r="G8" s="27" t="s">
        <v>33</v>
      </c>
      <c r="H8" s="25" t="s">
        <v>313</v>
      </c>
      <c r="I8" s="25">
        <v>50</v>
      </c>
      <c r="J8" s="25" t="s">
        <v>314</v>
      </c>
      <c r="K8" s="25">
        <v>150</v>
      </c>
      <c r="L8" s="28">
        <v>0.6</v>
      </c>
      <c r="M8" s="25" t="s">
        <v>370</v>
      </c>
      <c r="N8" s="27" t="s">
        <v>33</v>
      </c>
      <c r="O8" s="25">
        <v>0.2</v>
      </c>
      <c r="P8" s="25" t="s">
        <v>370</v>
      </c>
      <c r="Q8" s="31">
        <f t="shared" si="0"/>
        <v>0.33333333333333337</v>
      </c>
    </row>
    <row r="9" spans="1:26" s="20" customFormat="1" ht="52.2" customHeight="1" x14ac:dyDescent="0.25">
      <c r="A9" s="25">
        <v>202</v>
      </c>
      <c r="B9" s="25" t="s">
        <v>50</v>
      </c>
      <c r="C9" s="25" t="s">
        <v>310</v>
      </c>
      <c r="D9" s="25" t="s">
        <v>311</v>
      </c>
      <c r="E9" s="25" t="s">
        <v>312</v>
      </c>
      <c r="F9" s="28" t="s">
        <v>371</v>
      </c>
      <c r="G9" s="27" t="s">
        <v>33</v>
      </c>
      <c r="H9" s="25" t="s">
        <v>313</v>
      </c>
      <c r="I9" s="25">
        <v>50</v>
      </c>
      <c r="J9" s="25" t="s">
        <v>314</v>
      </c>
      <c r="K9" s="25">
        <v>150</v>
      </c>
      <c r="L9" s="28">
        <v>0.6</v>
      </c>
      <c r="M9" s="25" t="s">
        <v>370</v>
      </c>
      <c r="N9" s="27" t="s">
        <v>33</v>
      </c>
      <c r="O9" s="25">
        <v>0.2</v>
      </c>
      <c r="P9" s="25" t="s">
        <v>370</v>
      </c>
      <c r="Q9" s="31">
        <f t="shared" si="0"/>
        <v>0.33333333333333337</v>
      </c>
    </row>
    <row r="10" spans="1:26" ht="14.25" customHeight="1" x14ac:dyDescent="0.3">
      <c r="A10" s="4">
        <v>203</v>
      </c>
      <c r="B10" s="4" t="s">
        <v>220</v>
      </c>
      <c r="C10" s="4" t="s">
        <v>310</v>
      </c>
      <c r="D10" s="4" t="s">
        <v>315</v>
      </c>
      <c r="E10" s="4" t="s">
        <v>316</v>
      </c>
      <c r="F10" s="4" t="s">
        <v>303</v>
      </c>
      <c r="G10" s="4" t="s">
        <v>33</v>
      </c>
      <c r="H10" s="4" t="s">
        <v>317</v>
      </c>
      <c r="I10" s="11" t="s">
        <v>33</v>
      </c>
      <c r="J10" s="12"/>
      <c r="K10" s="4" t="s">
        <v>33</v>
      </c>
      <c r="L10" s="4" t="s">
        <v>33</v>
      </c>
      <c r="M10" s="4" t="s">
        <v>33</v>
      </c>
      <c r="N10" s="4" t="s">
        <v>33</v>
      </c>
      <c r="O10" s="4" t="s">
        <v>33</v>
      </c>
      <c r="P10" s="4" t="s">
        <v>33</v>
      </c>
      <c r="Q10" s="4" t="s">
        <v>33</v>
      </c>
    </row>
    <row r="11" spans="1:26" ht="14.25" customHeight="1" x14ac:dyDescent="0.3">
      <c r="A11" s="4">
        <v>203</v>
      </c>
      <c r="B11" s="4" t="s">
        <v>224</v>
      </c>
      <c r="C11" s="4" t="s">
        <v>318</v>
      </c>
      <c r="D11" s="2" t="s">
        <v>315</v>
      </c>
      <c r="E11" s="4" t="s">
        <v>316</v>
      </c>
      <c r="F11" s="4" t="s">
        <v>303</v>
      </c>
      <c r="G11" s="4" t="s">
        <v>33</v>
      </c>
      <c r="H11" s="4" t="s">
        <v>33</v>
      </c>
      <c r="I11" s="11" t="s">
        <v>33</v>
      </c>
      <c r="J11" s="13"/>
      <c r="K11" s="4" t="s">
        <v>33</v>
      </c>
      <c r="L11" s="4" t="s">
        <v>33</v>
      </c>
      <c r="M11" s="4" t="s">
        <v>33</v>
      </c>
      <c r="N11" s="4" t="s">
        <v>33</v>
      </c>
      <c r="O11" s="4" t="s">
        <v>33</v>
      </c>
      <c r="P11" s="4" t="s">
        <v>33</v>
      </c>
      <c r="Q11" s="4" t="s">
        <v>33</v>
      </c>
    </row>
    <row r="12" spans="1:26" ht="14.25" customHeight="1" x14ac:dyDescent="0.3">
      <c r="A12" s="4">
        <v>204</v>
      </c>
      <c r="B12" s="4" t="s">
        <v>220</v>
      </c>
      <c r="C12" s="4" t="s">
        <v>318</v>
      </c>
      <c r="D12" s="4" t="s">
        <v>315</v>
      </c>
      <c r="E12" s="6" t="s">
        <v>319</v>
      </c>
      <c r="F12" s="6" t="s">
        <v>320</v>
      </c>
      <c r="G12" s="4" t="s">
        <v>33</v>
      </c>
      <c r="H12" s="4" t="s">
        <v>33</v>
      </c>
      <c r="I12" s="4">
        <f>6000*0.05</f>
        <v>300</v>
      </c>
      <c r="J12" s="4" t="s">
        <v>252</v>
      </c>
      <c r="K12" s="2">
        <f>25/0.05</f>
        <v>500</v>
      </c>
      <c r="L12" s="4" t="s">
        <v>33</v>
      </c>
      <c r="M12" s="2"/>
      <c r="N12" s="2"/>
      <c r="O12" s="2"/>
      <c r="P12" s="2"/>
      <c r="Q12" s="2"/>
    </row>
    <row r="13" spans="1:26" ht="14.25" customHeight="1" x14ac:dyDescent="0.3">
      <c r="A13" s="4">
        <v>204</v>
      </c>
      <c r="B13" s="4" t="s">
        <v>220</v>
      </c>
      <c r="C13" s="4" t="s">
        <v>321</v>
      </c>
      <c r="D13" s="4" t="s">
        <v>322</v>
      </c>
      <c r="E13" s="6" t="s">
        <v>319</v>
      </c>
      <c r="F13" s="6" t="s">
        <v>320</v>
      </c>
      <c r="G13" s="4" t="s">
        <v>33</v>
      </c>
      <c r="H13" s="4" t="s">
        <v>33</v>
      </c>
      <c r="I13" s="4">
        <v>1500</v>
      </c>
      <c r="J13" s="4" t="s">
        <v>323</v>
      </c>
      <c r="K13" s="2">
        <f>AVERAGE(10,15)</f>
        <v>12.5</v>
      </c>
      <c r="L13" s="4">
        <v>5</v>
      </c>
      <c r="M13" s="4" t="s">
        <v>324</v>
      </c>
      <c r="N13" s="4" t="s">
        <v>325</v>
      </c>
      <c r="O13" s="4" t="s">
        <v>33</v>
      </c>
      <c r="P13" s="4" t="s">
        <v>33</v>
      </c>
      <c r="Q13" s="4" t="s">
        <v>33</v>
      </c>
    </row>
    <row r="14" spans="1:26" ht="14.25" customHeight="1" x14ac:dyDescent="0.3">
      <c r="A14" s="4">
        <v>204</v>
      </c>
      <c r="B14" s="4" t="s">
        <v>220</v>
      </c>
      <c r="C14" s="4" t="s">
        <v>326</v>
      </c>
      <c r="D14" s="4" t="s">
        <v>327</v>
      </c>
      <c r="E14" s="6" t="s">
        <v>319</v>
      </c>
      <c r="F14" s="4" t="s">
        <v>33</v>
      </c>
      <c r="G14" s="4" t="s">
        <v>33</v>
      </c>
      <c r="H14" s="4" t="s">
        <v>33</v>
      </c>
      <c r="I14" s="4">
        <v>5000</v>
      </c>
      <c r="J14" s="4" t="s">
        <v>323</v>
      </c>
      <c r="K14" s="4">
        <v>10</v>
      </c>
      <c r="L14" s="4">
        <v>0.04</v>
      </c>
      <c r="M14" s="4" t="s">
        <v>247</v>
      </c>
      <c r="N14" s="2" t="s">
        <v>328</v>
      </c>
      <c r="O14" s="14">
        <f>0.04/26</f>
        <v>1.5384615384615385E-3</v>
      </c>
      <c r="P14" s="4" t="s">
        <v>33</v>
      </c>
      <c r="Q14" s="4" t="s">
        <v>33</v>
      </c>
    </row>
    <row r="15" spans="1:26" ht="14.25" customHeight="1" x14ac:dyDescent="0.3">
      <c r="A15" s="4">
        <v>204</v>
      </c>
      <c r="B15" s="4" t="s">
        <v>224</v>
      </c>
      <c r="C15" s="4" t="s">
        <v>318</v>
      </c>
      <c r="D15" s="4" t="s">
        <v>315</v>
      </c>
      <c r="E15" s="4" t="s">
        <v>33</v>
      </c>
      <c r="F15" s="4" t="s">
        <v>33</v>
      </c>
      <c r="G15" s="4" t="s">
        <v>33</v>
      </c>
      <c r="H15" s="4" t="s">
        <v>33</v>
      </c>
      <c r="I15" s="2">
        <f>2000*0.05</f>
        <v>100</v>
      </c>
      <c r="J15" s="4" t="s">
        <v>252</v>
      </c>
      <c r="K15" s="2">
        <f>25/0.05</f>
        <v>500</v>
      </c>
      <c r="L15" s="4" t="s">
        <v>33</v>
      </c>
      <c r="M15" s="2"/>
      <c r="N15" s="2"/>
      <c r="O15" s="2"/>
      <c r="P15" s="2"/>
      <c r="Q15" s="2"/>
    </row>
    <row r="16" spans="1:26" ht="14.25" customHeight="1" x14ac:dyDescent="0.3">
      <c r="A16" s="4">
        <v>204</v>
      </c>
      <c r="B16" s="4" t="s">
        <v>168</v>
      </c>
      <c r="C16" s="4" t="s">
        <v>33</v>
      </c>
      <c r="D16" s="4" t="s">
        <v>311</v>
      </c>
      <c r="E16" s="4" t="s">
        <v>33</v>
      </c>
      <c r="F16" s="4" t="s">
        <v>33</v>
      </c>
      <c r="G16" s="4" t="s">
        <v>33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2"/>
      <c r="N16" s="2"/>
      <c r="O16" s="2"/>
      <c r="P16" s="2"/>
      <c r="Q16" s="2"/>
    </row>
    <row r="17" spans="1:26" ht="61.2" customHeight="1" x14ac:dyDescent="0.3">
      <c r="A17" s="37">
        <v>205</v>
      </c>
      <c r="B17" s="37" t="s">
        <v>413</v>
      </c>
      <c r="C17" s="37" t="s">
        <v>419</v>
      </c>
      <c r="D17" s="37" t="s">
        <v>327</v>
      </c>
      <c r="E17" s="37" t="s">
        <v>312</v>
      </c>
      <c r="F17" s="37" t="s">
        <v>303</v>
      </c>
      <c r="G17" s="39" t="s">
        <v>422</v>
      </c>
      <c r="H17" s="39" t="s">
        <v>414</v>
      </c>
      <c r="I17" s="39" t="s">
        <v>329</v>
      </c>
      <c r="J17" s="39" t="s">
        <v>415</v>
      </c>
      <c r="K17" s="37">
        <v>67.900000000000006</v>
      </c>
      <c r="L17" s="37" t="s">
        <v>330</v>
      </c>
      <c r="M17" s="37" t="s">
        <v>332</v>
      </c>
      <c r="N17" s="37" t="s">
        <v>33</v>
      </c>
      <c r="O17" s="37">
        <v>0.25</v>
      </c>
      <c r="P17" s="37" t="s">
        <v>252</v>
      </c>
      <c r="Q17" s="39" t="s">
        <v>33</v>
      </c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57" customHeight="1" x14ac:dyDescent="0.3">
      <c r="A18" s="37">
        <v>205</v>
      </c>
      <c r="B18" s="37" t="s">
        <v>331</v>
      </c>
      <c r="C18" s="37" t="s">
        <v>420</v>
      </c>
      <c r="D18" s="37" t="s">
        <v>327</v>
      </c>
      <c r="E18" s="37" t="s">
        <v>312</v>
      </c>
      <c r="F18" s="37" t="s">
        <v>303</v>
      </c>
      <c r="G18" s="39" t="s">
        <v>422</v>
      </c>
      <c r="H18" s="39" t="s">
        <v>414</v>
      </c>
      <c r="I18" s="39" t="s">
        <v>329</v>
      </c>
      <c r="J18" s="39" t="s">
        <v>415</v>
      </c>
      <c r="K18" s="37">
        <v>72.5</v>
      </c>
      <c r="L18" s="37" t="s">
        <v>416</v>
      </c>
      <c r="M18" s="37" t="s">
        <v>332</v>
      </c>
      <c r="N18" s="37" t="s">
        <v>33</v>
      </c>
      <c r="O18" s="37">
        <v>0.25</v>
      </c>
      <c r="P18" s="37" t="s">
        <v>252</v>
      </c>
      <c r="Q18" s="37" t="s">
        <v>33</v>
      </c>
    </row>
    <row r="19" spans="1:26" ht="64.95" customHeight="1" x14ac:dyDescent="0.3">
      <c r="A19" s="37">
        <v>205</v>
      </c>
      <c r="B19" s="37" t="s">
        <v>333</v>
      </c>
      <c r="C19" s="37" t="s">
        <v>421</v>
      </c>
      <c r="D19" s="37" t="s">
        <v>327</v>
      </c>
      <c r="E19" s="37" t="s">
        <v>312</v>
      </c>
      <c r="F19" s="37" t="s">
        <v>303</v>
      </c>
      <c r="G19" s="39" t="s">
        <v>422</v>
      </c>
      <c r="H19" s="39" t="s">
        <v>414</v>
      </c>
      <c r="I19" s="39" t="s">
        <v>334</v>
      </c>
      <c r="J19" s="37" t="s">
        <v>33</v>
      </c>
      <c r="K19" s="37">
        <v>89.9</v>
      </c>
      <c r="L19" s="37" t="s">
        <v>417</v>
      </c>
      <c r="M19" s="37" t="s">
        <v>332</v>
      </c>
      <c r="N19" s="37" t="s">
        <v>33</v>
      </c>
      <c r="O19" s="37" t="s">
        <v>33</v>
      </c>
      <c r="P19" s="41"/>
      <c r="Q19" s="41"/>
    </row>
    <row r="20" spans="1:26" ht="59.4" customHeight="1" x14ac:dyDescent="0.3">
      <c r="A20" s="37">
        <v>205</v>
      </c>
      <c r="B20" s="37" t="s">
        <v>50</v>
      </c>
      <c r="C20" s="37" t="s">
        <v>318</v>
      </c>
      <c r="D20" s="37" t="s">
        <v>327</v>
      </c>
      <c r="E20" s="37" t="s">
        <v>312</v>
      </c>
      <c r="F20" s="37" t="s">
        <v>303</v>
      </c>
      <c r="G20" s="39" t="s">
        <v>422</v>
      </c>
      <c r="H20" s="39" t="s">
        <v>414</v>
      </c>
      <c r="I20" s="37" t="s">
        <v>335</v>
      </c>
      <c r="J20" s="37" t="s">
        <v>33</v>
      </c>
      <c r="K20" s="37">
        <v>25</v>
      </c>
      <c r="L20" s="37" t="s">
        <v>418</v>
      </c>
      <c r="M20" s="37" t="s">
        <v>332</v>
      </c>
      <c r="N20" s="37" t="s">
        <v>33</v>
      </c>
      <c r="O20" s="37" t="s">
        <v>33</v>
      </c>
      <c r="P20" s="41"/>
      <c r="Q20" s="41"/>
    </row>
    <row r="21" spans="1:26" ht="63" customHeight="1" x14ac:dyDescent="0.3">
      <c r="A21" s="37">
        <v>205</v>
      </c>
      <c r="B21" s="37" t="s">
        <v>336</v>
      </c>
      <c r="C21" s="37" t="s">
        <v>318</v>
      </c>
      <c r="D21" s="37" t="s">
        <v>327</v>
      </c>
      <c r="E21" s="37" t="s">
        <v>312</v>
      </c>
      <c r="F21" s="37" t="s">
        <v>303</v>
      </c>
      <c r="G21" s="39" t="s">
        <v>422</v>
      </c>
      <c r="H21" s="39" t="s">
        <v>414</v>
      </c>
      <c r="I21" s="37" t="s">
        <v>335</v>
      </c>
      <c r="J21" s="37" t="s">
        <v>33</v>
      </c>
      <c r="K21" s="37">
        <v>39.9</v>
      </c>
      <c r="L21" s="37" t="s">
        <v>418</v>
      </c>
      <c r="M21" s="37" t="s">
        <v>332</v>
      </c>
      <c r="N21" s="37" t="s">
        <v>33</v>
      </c>
      <c r="O21" s="37" t="s">
        <v>33</v>
      </c>
      <c r="P21" s="41"/>
      <c r="Q21" s="41"/>
    </row>
    <row r="22" spans="1:26" ht="59.4" customHeight="1" x14ac:dyDescent="0.3">
      <c r="A22" s="37">
        <v>205</v>
      </c>
      <c r="B22" s="37" t="s">
        <v>337</v>
      </c>
      <c r="C22" s="37" t="s">
        <v>318</v>
      </c>
      <c r="D22" s="37" t="s">
        <v>327</v>
      </c>
      <c r="E22" s="37" t="s">
        <v>312</v>
      </c>
      <c r="F22" s="37" t="s">
        <v>303</v>
      </c>
      <c r="G22" s="39" t="s">
        <v>422</v>
      </c>
      <c r="H22" s="39" t="s">
        <v>414</v>
      </c>
      <c r="I22" s="37" t="s">
        <v>335</v>
      </c>
      <c r="J22" s="37" t="s">
        <v>33</v>
      </c>
      <c r="K22" s="37">
        <v>39.9</v>
      </c>
      <c r="L22" s="37" t="s">
        <v>418</v>
      </c>
      <c r="M22" s="37" t="s">
        <v>332</v>
      </c>
      <c r="N22" s="37" t="s">
        <v>33</v>
      </c>
      <c r="O22" s="37" t="s">
        <v>33</v>
      </c>
      <c r="P22" s="41"/>
      <c r="Q22" s="41"/>
    </row>
    <row r="23" spans="1:26" ht="63" customHeight="1" x14ac:dyDescent="0.3">
      <c r="A23" s="37">
        <v>205</v>
      </c>
      <c r="B23" s="37" t="s">
        <v>220</v>
      </c>
      <c r="C23" s="37" t="s">
        <v>318</v>
      </c>
      <c r="D23" s="37" t="s">
        <v>327</v>
      </c>
      <c r="E23" s="37" t="s">
        <v>312</v>
      </c>
      <c r="F23" s="37" t="s">
        <v>303</v>
      </c>
      <c r="G23" s="39" t="s">
        <v>422</v>
      </c>
      <c r="H23" s="39" t="s">
        <v>414</v>
      </c>
      <c r="I23" s="37" t="s">
        <v>335</v>
      </c>
      <c r="J23" s="37" t="s">
        <v>33</v>
      </c>
      <c r="K23" s="37">
        <v>39.9</v>
      </c>
      <c r="L23" s="37" t="s">
        <v>418</v>
      </c>
      <c r="M23" s="37" t="s">
        <v>332</v>
      </c>
      <c r="N23" s="37" t="s">
        <v>33</v>
      </c>
      <c r="O23" s="37" t="s">
        <v>33</v>
      </c>
      <c r="P23" s="41"/>
      <c r="Q23" s="41"/>
    </row>
    <row r="24" spans="1:26" ht="14.25" customHeight="1" x14ac:dyDescent="0.3">
      <c r="A24" s="4">
        <v>206</v>
      </c>
      <c r="B24" s="4" t="s">
        <v>338</v>
      </c>
      <c r="C24" s="4" t="s">
        <v>310</v>
      </c>
      <c r="D24" s="4" t="s">
        <v>311</v>
      </c>
      <c r="E24" s="2" t="s">
        <v>339</v>
      </c>
      <c r="F24" s="4" t="s">
        <v>340</v>
      </c>
      <c r="G24" s="4" t="s">
        <v>33</v>
      </c>
      <c r="H24" s="4" t="s">
        <v>33</v>
      </c>
      <c r="I24" s="4">
        <v>34313.730000000003</v>
      </c>
      <c r="J24" s="4" t="s">
        <v>341</v>
      </c>
      <c r="K24" s="4">
        <v>1040</v>
      </c>
      <c r="L24" s="4" t="s">
        <v>33</v>
      </c>
      <c r="M24" s="4" t="s">
        <v>33</v>
      </c>
      <c r="N24" s="4" t="s">
        <v>33</v>
      </c>
      <c r="O24" s="4" t="s">
        <v>33</v>
      </c>
      <c r="P24" s="4" t="s">
        <v>33</v>
      </c>
      <c r="Q24" s="4" t="s">
        <v>33</v>
      </c>
      <c r="R24" s="7"/>
    </row>
    <row r="25" spans="1:26" ht="14.25" customHeight="1" x14ac:dyDescent="0.3">
      <c r="A25" s="4">
        <v>206</v>
      </c>
      <c r="B25" s="4" t="s">
        <v>342</v>
      </c>
      <c r="C25" s="4" t="s">
        <v>310</v>
      </c>
      <c r="D25" s="4" t="s">
        <v>311</v>
      </c>
      <c r="E25" s="4" t="s">
        <v>343</v>
      </c>
      <c r="F25" s="4" t="s">
        <v>340</v>
      </c>
      <c r="G25" s="4" t="s">
        <v>33</v>
      </c>
      <c r="H25" s="4" t="s">
        <v>33</v>
      </c>
      <c r="I25" s="4">
        <v>308823</v>
      </c>
      <c r="J25" s="4" t="s">
        <v>341</v>
      </c>
      <c r="K25" s="4">
        <v>1083</v>
      </c>
      <c r="L25" s="4" t="s">
        <v>33</v>
      </c>
      <c r="M25" s="4" t="s">
        <v>33</v>
      </c>
      <c r="N25" s="4" t="s">
        <v>33</v>
      </c>
      <c r="O25" s="4"/>
      <c r="P25" s="4"/>
      <c r="Q25" s="4"/>
      <c r="R25" s="7"/>
    </row>
    <row r="26" spans="1:26" ht="14.25" customHeight="1" x14ac:dyDescent="0.3">
      <c r="A26" s="4">
        <v>207</v>
      </c>
      <c r="B26" s="4" t="s">
        <v>50</v>
      </c>
      <c r="C26" s="4" t="s">
        <v>310</v>
      </c>
      <c r="D26" s="6" t="s">
        <v>311</v>
      </c>
      <c r="E26" s="4" t="s">
        <v>344</v>
      </c>
      <c r="F26" s="4" t="s">
        <v>345</v>
      </c>
      <c r="G26" s="2" t="s">
        <v>346</v>
      </c>
      <c r="H26" s="4" t="s">
        <v>33</v>
      </c>
      <c r="I26" s="2">
        <f>3400*60</f>
        <v>204000</v>
      </c>
      <c r="J26" s="4" t="s">
        <v>247</v>
      </c>
      <c r="K26" s="2">
        <f>330/60</f>
        <v>5.5</v>
      </c>
      <c r="L26" s="4" t="s">
        <v>33</v>
      </c>
      <c r="M26" s="2"/>
      <c r="N26" s="2"/>
      <c r="O26" s="2"/>
      <c r="P26" s="2"/>
      <c r="Q26" s="2"/>
    </row>
    <row r="27" spans="1:26" ht="14.25" customHeight="1" x14ac:dyDescent="0.3">
      <c r="A27" s="4">
        <v>207</v>
      </c>
      <c r="B27" s="4" t="s">
        <v>217</v>
      </c>
      <c r="C27" s="4" t="s">
        <v>347</v>
      </c>
      <c r="D27" s="6" t="s">
        <v>348</v>
      </c>
      <c r="E27" s="4" t="s">
        <v>344</v>
      </c>
      <c r="F27" s="4" t="s">
        <v>349</v>
      </c>
      <c r="G27" s="4" t="s">
        <v>33</v>
      </c>
      <c r="H27" s="4" t="s">
        <v>33</v>
      </c>
      <c r="I27" s="4">
        <v>2560</v>
      </c>
      <c r="J27" s="4" t="s">
        <v>247</v>
      </c>
      <c r="K27" s="2">
        <f>AVERAGE(110,200,125)</f>
        <v>145</v>
      </c>
      <c r="L27" s="4" t="s">
        <v>33</v>
      </c>
      <c r="M27" s="2"/>
      <c r="N27" s="2"/>
      <c r="O27" s="2"/>
      <c r="P27" s="2"/>
      <c r="Q27" s="2"/>
    </row>
    <row r="28" spans="1:26" ht="14.25" customHeight="1" x14ac:dyDescent="0.3">
      <c r="A28" s="4">
        <v>207</v>
      </c>
      <c r="B28" s="4" t="s">
        <v>220</v>
      </c>
      <c r="C28" s="4" t="s">
        <v>318</v>
      </c>
      <c r="D28" s="4" t="s">
        <v>315</v>
      </c>
      <c r="E28" s="4" t="s">
        <v>312</v>
      </c>
      <c r="F28" s="6" t="s">
        <v>350</v>
      </c>
      <c r="G28" s="4" t="s">
        <v>33</v>
      </c>
      <c r="H28" s="4" t="s">
        <v>33</v>
      </c>
      <c r="I28" s="2">
        <f>3900/1000</f>
        <v>3.9</v>
      </c>
      <c r="J28" s="4" t="s">
        <v>252</v>
      </c>
      <c r="K28" s="4">
        <f>AVERAGE(333.33,416.67)</f>
        <v>375</v>
      </c>
      <c r="L28" s="4" t="s">
        <v>33</v>
      </c>
      <c r="M28" s="2"/>
      <c r="N28" s="2"/>
      <c r="O28" s="2"/>
      <c r="P28" s="2"/>
      <c r="Q28" s="2"/>
    </row>
    <row r="29" spans="1:26" ht="14.25" customHeight="1" x14ac:dyDescent="0.3">
      <c r="A29" s="4">
        <v>207</v>
      </c>
      <c r="B29" s="4" t="s">
        <v>224</v>
      </c>
      <c r="C29" s="4" t="s">
        <v>318</v>
      </c>
      <c r="D29" s="4" t="s">
        <v>315</v>
      </c>
      <c r="E29" s="4" t="s">
        <v>312</v>
      </c>
      <c r="F29" s="4" t="s">
        <v>351</v>
      </c>
      <c r="G29" s="4" t="s">
        <v>33</v>
      </c>
      <c r="H29" s="4" t="s">
        <v>33</v>
      </c>
      <c r="I29" s="4">
        <v>6</v>
      </c>
      <c r="J29" s="4" t="s">
        <v>247</v>
      </c>
      <c r="K29" s="4">
        <v>98</v>
      </c>
      <c r="L29" s="4" t="s">
        <v>33</v>
      </c>
      <c r="M29" s="2"/>
      <c r="N29" s="2"/>
      <c r="O29" s="2"/>
      <c r="P29" s="2"/>
      <c r="Q29" s="2"/>
    </row>
    <row r="30" spans="1:26" ht="14.25" customHeight="1" x14ac:dyDescent="0.3">
      <c r="A30" s="4">
        <v>207</v>
      </c>
      <c r="B30" s="4" t="s">
        <v>352</v>
      </c>
      <c r="C30" s="4" t="s">
        <v>318</v>
      </c>
      <c r="D30" s="4" t="s">
        <v>315</v>
      </c>
      <c r="E30" s="4" t="s">
        <v>312</v>
      </c>
      <c r="F30" s="4" t="s">
        <v>351</v>
      </c>
      <c r="G30" s="4" t="s">
        <v>33</v>
      </c>
      <c r="H30" s="4" t="s">
        <v>33</v>
      </c>
      <c r="I30" s="4">
        <v>1250</v>
      </c>
      <c r="J30" s="4" t="s">
        <v>247</v>
      </c>
      <c r="K30" s="4">
        <v>92</v>
      </c>
      <c r="L30" s="4" t="s">
        <v>33</v>
      </c>
      <c r="M30" s="4" t="s">
        <v>33</v>
      </c>
      <c r="N30" s="4" t="s">
        <v>33</v>
      </c>
      <c r="O30" s="4" t="s">
        <v>33</v>
      </c>
      <c r="P30" s="4" t="s">
        <v>33</v>
      </c>
      <c r="Q30" s="4" t="s">
        <v>33</v>
      </c>
    </row>
    <row r="31" spans="1:26" ht="13.95" customHeight="1" x14ac:dyDescent="0.3">
      <c r="A31" s="4">
        <v>207</v>
      </c>
      <c r="B31" s="4" t="s">
        <v>228</v>
      </c>
      <c r="C31" s="4" t="s">
        <v>353</v>
      </c>
      <c r="D31" s="4" t="s">
        <v>354</v>
      </c>
      <c r="E31" s="4" t="s">
        <v>312</v>
      </c>
      <c r="F31" s="6" t="s">
        <v>355</v>
      </c>
      <c r="G31" s="4" t="s">
        <v>356</v>
      </c>
      <c r="H31" s="4" t="s">
        <v>153</v>
      </c>
      <c r="I31" s="4">
        <v>30</v>
      </c>
      <c r="J31" s="4" t="s">
        <v>247</v>
      </c>
      <c r="K31" s="4">
        <v>320</v>
      </c>
      <c r="L31" s="4" t="s">
        <v>33</v>
      </c>
      <c r="M31" s="4" t="s">
        <v>33</v>
      </c>
      <c r="N31" s="4" t="s">
        <v>33</v>
      </c>
      <c r="O31" s="4" t="s">
        <v>33</v>
      </c>
      <c r="P31" s="4" t="s">
        <v>33</v>
      </c>
      <c r="Q31" s="4" t="s">
        <v>33</v>
      </c>
    </row>
    <row r="32" spans="1:26" ht="39.6" customHeight="1" x14ac:dyDescent="0.3">
      <c r="A32" s="37">
        <v>208</v>
      </c>
      <c r="B32" s="37" t="s">
        <v>432</v>
      </c>
      <c r="C32" s="37" t="s">
        <v>357</v>
      </c>
      <c r="D32" s="37" t="s">
        <v>301</v>
      </c>
      <c r="E32" s="37" t="s">
        <v>312</v>
      </c>
      <c r="F32" s="37" t="s">
        <v>358</v>
      </c>
      <c r="G32" s="37" t="s">
        <v>33</v>
      </c>
      <c r="H32" s="37" t="s">
        <v>233</v>
      </c>
      <c r="I32" s="37">
        <v>72</v>
      </c>
      <c r="J32" s="37" t="s">
        <v>247</v>
      </c>
      <c r="K32" s="37">
        <v>90</v>
      </c>
      <c r="L32" s="39" t="s">
        <v>430</v>
      </c>
      <c r="M32" s="37" t="s">
        <v>431</v>
      </c>
      <c r="N32" s="37">
        <v>6</v>
      </c>
      <c r="O32" s="37" t="s">
        <v>247</v>
      </c>
      <c r="P32" s="25" t="s">
        <v>247</v>
      </c>
      <c r="Q32" s="31" t="s">
        <v>33</v>
      </c>
    </row>
    <row r="33" spans="1:18" ht="14.25" customHeight="1" x14ac:dyDescent="0.3">
      <c r="A33" s="37">
        <v>208</v>
      </c>
      <c r="B33" s="39" t="s">
        <v>359</v>
      </c>
      <c r="C33" s="37" t="s">
        <v>357</v>
      </c>
      <c r="D33" s="37" t="s">
        <v>301</v>
      </c>
      <c r="E33" s="37" t="s">
        <v>312</v>
      </c>
      <c r="F33" s="37" t="s">
        <v>358</v>
      </c>
      <c r="G33" s="37" t="s">
        <v>33</v>
      </c>
      <c r="H33" s="37" t="s">
        <v>233</v>
      </c>
      <c r="I33" s="37">
        <v>6</v>
      </c>
      <c r="J33" s="37" t="s">
        <v>247</v>
      </c>
      <c r="K33" s="37">
        <v>90</v>
      </c>
      <c r="L33" s="37" t="s">
        <v>33</v>
      </c>
      <c r="M33" s="37" t="s">
        <v>33</v>
      </c>
      <c r="N33" s="41"/>
      <c r="O33" s="37" t="s">
        <v>33</v>
      </c>
      <c r="P33" s="25" t="s">
        <v>33</v>
      </c>
      <c r="Q33" s="25" t="s">
        <v>33</v>
      </c>
    </row>
    <row r="34" spans="1:18" s="20" customFormat="1" ht="14.25" customHeight="1" x14ac:dyDescent="0.25">
      <c r="A34" s="25">
        <v>209</v>
      </c>
      <c r="B34" s="25" t="s">
        <v>397</v>
      </c>
      <c r="C34" s="25" t="s">
        <v>398</v>
      </c>
      <c r="D34" s="25" t="s">
        <v>301</v>
      </c>
      <c r="E34" s="33" t="s">
        <v>312</v>
      </c>
      <c r="F34" s="33" t="s">
        <v>358</v>
      </c>
      <c r="G34" s="25" t="s">
        <v>33</v>
      </c>
      <c r="H34" s="25" t="s">
        <v>399</v>
      </c>
      <c r="I34" s="25">
        <v>60</v>
      </c>
      <c r="J34" s="33" t="s">
        <v>247</v>
      </c>
      <c r="K34" s="25">
        <v>68.900000000000006</v>
      </c>
      <c r="L34" s="25" t="s">
        <v>33</v>
      </c>
      <c r="M34" s="33" t="s">
        <v>33</v>
      </c>
      <c r="N34" s="34" t="s">
        <v>33</v>
      </c>
      <c r="O34" s="33" t="s">
        <v>33</v>
      </c>
      <c r="P34" s="33" t="s">
        <v>33</v>
      </c>
      <c r="Q34" s="33" t="s">
        <v>33</v>
      </c>
    </row>
    <row r="35" spans="1:18" s="20" customFormat="1" ht="14.25" customHeight="1" x14ac:dyDescent="0.25">
      <c r="A35" s="25">
        <v>209</v>
      </c>
      <c r="B35" s="25" t="s">
        <v>400</v>
      </c>
      <c r="C35" s="25" t="s">
        <v>401</v>
      </c>
      <c r="D35" s="25" t="s">
        <v>301</v>
      </c>
      <c r="E35" s="33" t="s">
        <v>312</v>
      </c>
      <c r="F35" s="33" t="s">
        <v>358</v>
      </c>
      <c r="G35" s="25" t="s">
        <v>33</v>
      </c>
      <c r="H35" s="25" t="s">
        <v>399</v>
      </c>
      <c r="I35" s="25">
        <v>100</v>
      </c>
      <c r="J35" s="33" t="s">
        <v>247</v>
      </c>
      <c r="K35" s="25">
        <v>120</v>
      </c>
      <c r="L35" s="25" t="s">
        <v>33</v>
      </c>
      <c r="M35" s="33" t="s">
        <v>33</v>
      </c>
      <c r="N35" s="34" t="s">
        <v>33</v>
      </c>
      <c r="O35" s="33" t="s">
        <v>33</v>
      </c>
      <c r="P35" s="33" t="s">
        <v>33</v>
      </c>
      <c r="Q35" s="33" t="s">
        <v>33</v>
      </c>
    </row>
    <row r="36" spans="1:18" s="20" customFormat="1" ht="14.25" customHeight="1" x14ac:dyDescent="0.25">
      <c r="A36" s="25">
        <v>209</v>
      </c>
      <c r="B36" s="25" t="s">
        <v>402</v>
      </c>
      <c r="C36" s="25" t="s">
        <v>398</v>
      </c>
      <c r="D36" s="25" t="s">
        <v>301</v>
      </c>
      <c r="E36" s="33" t="s">
        <v>312</v>
      </c>
      <c r="F36" s="33" t="s">
        <v>358</v>
      </c>
      <c r="G36" s="25" t="s">
        <v>33</v>
      </c>
      <c r="H36" s="25" t="s">
        <v>399</v>
      </c>
      <c r="I36" s="25">
        <v>20</v>
      </c>
      <c r="J36" s="33" t="s">
        <v>247</v>
      </c>
      <c r="K36" s="25">
        <v>45</v>
      </c>
      <c r="L36" s="25" t="s">
        <v>33</v>
      </c>
      <c r="M36" s="33" t="s">
        <v>33</v>
      </c>
      <c r="N36" s="34" t="s">
        <v>33</v>
      </c>
      <c r="O36" s="33" t="s">
        <v>33</v>
      </c>
      <c r="P36" s="33" t="s">
        <v>33</v>
      </c>
      <c r="Q36" s="33" t="s">
        <v>33</v>
      </c>
    </row>
    <row r="37" spans="1:18" s="20" customFormat="1" ht="14.25" customHeight="1" x14ac:dyDescent="0.25">
      <c r="A37" s="25">
        <v>209</v>
      </c>
      <c r="B37" s="25" t="s">
        <v>403</v>
      </c>
      <c r="C37" s="25" t="s">
        <v>404</v>
      </c>
      <c r="D37" s="25" t="s">
        <v>301</v>
      </c>
      <c r="E37" s="33" t="s">
        <v>312</v>
      </c>
      <c r="F37" s="33" t="s">
        <v>358</v>
      </c>
      <c r="G37" s="25" t="s">
        <v>33</v>
      </c>
      <c r="H37" s="25" t="s">
        <v>399</v>
      </c>
      <c r="I37" s="25">
        <v>25</v>
      </c>
      <c r="J37" s="33" t="s">
        <v>247</v>
      </c>
      <c r="K37" s="25">
        <v>68</v>
      </c>
      <c r="L37" s="25" t="s">
        <v>33</v>
      </c>
      <c r="M37" s="33" t="s">
        <v>33</v>
      </c>
      <c r="N37" s="34" t="s">
        <v>33</v>
      </c>
      <c r="O37" s="33" t="s">
        <v>33</v>
      </c>
      <c r="P37" s="33" t="s">
        <v>33</v>
      </c>
      <c r="Q37" s="33" t="s">
        <v>33</v>
      </c>
    </row>
    <row r="38" spans="1:18" s="20" customFormat="1" ht="14.25" customHeight="1" x14ac:dyDescent="0.25">
      <c r="A38" s="25">
        <v>209</v>
      </c>
      <c r="B38" s="25" t="s">
        <v>405</v>
      </c>
      <c r="C38" s="25" t="s">
        <v>406</v>
      </c>
      <c r="D38" s="25" t="s">
        <v>301</v>
      </c>
      <c r="E38" s="33" t="s">
        <v>312</v>
      </c>
      <c r="F38" s="33" t="s">
        <v>358</v>
      </c>
      <c r="G38" s="25" t="s">
        <v>33</v>
      </c>
      <c r="H38" s="25" t="s">
        <v>399</v>
      </c>
      <c r="I38" s="25">
        <v>185</v>
      </c>
      <c r="J38" s="33" t="s">
        <v>247</v>
      </c>
      <c r="K38" s="25">
        <v>48.9</v>
      </c>
      <c r="L38" s="25" t="s">
        <v>33</v>
      </c>
      <c r="M38" s="33" t="s">
        <v>33</v>
      </c>
      <c r="N38" s="34" t="s">
        <v>33</v>
      </c>
      <c r="O38" s="33" t="s">
        <v>33</v>
      </c>
      <c r="P38" s="33" t="s">
        <v>33</v>
      </c>
      <c r="Q38" s="33" t="s">
        <v>33</v>
      </c>
    </row>
    <row r="39" spans="1:18" s="20" customFormat="1" ht="14.25" customHeight="1" x14ac:dyDescent="0.25">
      <c r="A39" s="25">
        <v>209</v>
      </c>
      <c r="B39" s="25" t="s">
        <v>407</v>
      </c>
      <c r="C39" s="25" t="s">
        <v>406</v>
      </c>
      <c r="D39" s="25" t="s">
        <v>301</v>
      </c>
      <c r="E39" s="33" t="s">
        <v>312</v>
      </c>
      <c r="F39" s="33" t="s">
        <v>358</v>
      </c>
      <c r="G39" s="25" t="s">
        <v>33</v>
      </c>
      <c r="H39" s="25" t="s">
        <v>399</v>
      </c>
      <c r="I39" s="25">
        <v>20</v>
      </c>
      <c r="J39" s="33" t="s">
        <v>247</v>
      </c>
      <c r="K39" s="25" t="s">
        <v>33</v>
      </c>
      <c r="L39" s="25" t="s">
        <v>33</v>
      </c>
      <c r="M39" s="33" t="s">
        <v>33</v>
      </c>
      <c r="N39" s="34" t="s">
        <v>33</v>
      </c>
      <c r="O39" s="33" t="s">
        <v>33</v>
      </c>
      <c r="P39" s="33" t="s">
        <v>33</v>
      </c>
      <c r="Q39" s="33" t="s">
        <v>33</v>
      </c>
    </row>
    <row r="40" spans="1:18" s="15" customFormat="1" ht="14.25" customHeight="1" x14ac:dyDescent="0.25">
      <c r="A40" s="24">
        <v>210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8" s="48" customFormat="1" ht="14.25" customHeight="1" x14ac:dyDescent="0.3">
      <c r="A41" s="47">
        <v>210</v>
      </c>
      <c r="B41" s="34" t="s">
        <v>220</v>
      </c>
      <c r="C41" s="34" t="s">
        <v>473</v>
      </c>
      <c r="D41" s="34" t="s">
        <v>327</v>
      </c>
      <c r="E41" s="4" t="s">
        <v>312</v>
      </c>
      <c r="F41" s="34" t="s">
        <v>474</v>
      </c>
      <c r="G41" s="47"/>
      <c r="H41" s="34" t="s">
        <v>211</v>
      </c>
      <c r="I41" s="47">
        <v>1300</v>
      </c>
      <c r="J41" s="34" t="s">
        <v>341</v>
      </c>
      <c r="K41" s="47">
        <v>44</v>
      </c>
      <c r="L41" s="47">
        <v>20</v>
      </c>
      <c r="M41" s="34" t="s">
        <v>341</v>
      </c>
      <c r="N41" s="47"/>
      <c r="O41" s="47"/>
      <c r="P41" s="47"/>
      <c r="Q41" s="47"/>
    </row>
    <row r="42" spans="1:18" ht="14.25" customHeight="1" x14ac:dyDescent="0.3">
      <c r="A42" s="47">
        <v>210</v>
      </c>
      <c r="B42" s="34" t="s">
        <v>220</v>
      </c>
      <c r="C42" s="34" t="s">
        <v>473</v>
      </c>
      <c r="D42" s="49" t="s">
        <v>475</v>
      </c>
      <c r="E42" s="49" t="s">
        <v>312</v>
      </c>
      <c r="F42" s="49" t="s">
        <v>303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8" ht="14.25" customHeight="1" x14ac:dyDescent="0.3">
      <c r="A43" s="47">
        <v>210</v>
      </c>
      <c r="B43" s="49" t="s">
        <v>168</v>
      </c>
      <c r="C43" s="49" t="s">
        <v>476</v>
      </c>
      <c r="D43" s="49" t="s">
        <v>477</v>
      </c>
      <c r="E43" s="49" t="s">
        <v>312</v>
      </c>
      <c r="F43" s="49" t="s">
        <v>478</v>
      </c>
      <c r="G43" s="49" t="s">
        <v>479</v>
      </c>
      <c r="H43" s="49" t="s">
        <v>480</v>
      </c>
      <c r="I43" s="2">
        <v>200</v>
      </c>
      <c r="J43" s="49" t="s">
        <v>481</v>
      </c>
      <c r="K43" s="2"/>
      <c r="L43" s="2"/>
      <c r="M43" s="2"/>
      <c r="N43" s="2"/>
      <c r="O43" s="2"/>
      <c r="P43" s="2"/>
      <c r="Q43" s="2"/>
    </row>
    <row r="44" spans="1:18" ht="14.25" customHeight="1" x14ac:dyDescent="0.3">
      <c r="A44" s="47">
        <v>210</v>
      </c>
      <c r="B44" s="49" t="s">
        <v>168</v>
      </c>
      <c r="C44" s="49" t="s">
        <v>476</v>
      </c>
      <c r="D44" s="49" t="s">
        <v>477</v>
      </c>
      <c r="E44" s="2"/>
      <c r="F44" s="49" t="s">
        <v>482</v>
      </c>
      <c r="G44" s="2"/>
      <c r="H44" s="49" t="s">
        <v>211</v>
      </c>
      <c r="I44" s="2">
        <v>15</v>
      </c>
      <c r="J44" s="49" t="s">
        <v>341</v>
      </c>
      <c r="K44" s="2"/>
      <c r="L44" s="2"/>
      <c r="M44" s="2"/>
      <c r="N44" s="2"/>
      <c r="O44" s="2"/>
      <c r="P44" s="2"/>
      <c r="Q44" s="2"/>
    </row>
    <row r="45" spans="1:18" ht="14.25" customHeight="1" x14ac:dyDescent="0.3">
      <c r="A45" s="47">
        <v>210</v>
      </c>
      <c r="B45" s="49" t="s">
        <v>168</v>
      </c>
      <c r="C45" s="49" t="s">
        <v>476</v>
      </c>
      <c r="D45" s="49" t="s">
        <v>477</v>
      </c>
      <c r="E45" s="49"/>
      <c r="F45" s="49" t="s">
        <v>483</v>
      </c>
      <c r="G45" s="2"/>
      <c r="H45" s="49" t="s">
        <v>484</v>
      </c>
      <c r="I45" s="2"/>
      <c r="J45" s="2"/>
      <c r="K45" s="2"/>
      <c r="L45" s="2"/>
      <c r="M45" s="2"/>
      <c r="N45" s="2"/>
      <c r="O45" s="2"/>
      <c r="P45" s="2"/>
      <c r="Q45" s="2"/>
    </row>
    <row r="46" spans="1:18" ht="14.25" customHeight="1" x14ac:dyDescent="0.3">
      <c r="A46" s="47">
        <v>210</v>
      </c>
      <c r="B46" s="49" t="s">
        <v>168</v>
      </c>
      <c r="C46" s="49" t="s">
        <v>476</v>
      </c>
      <c r="D46" s="49" t="s">
        <v>477</v>
      </c>
      <c r="E46" s="2"/>
      <c r="F46" s="49" t="s">
        <v>485</v>
      </c>
      <c r="G46" s="49" t="s">
        <v>479</v>
      </c>
      <c r="H46" s="49" t="s">
        <v>480</v>
      </c>
      <c r="I46" s="2"/>
      <c r="J46" s="2"/>
      <c r="K46" s="2"/>
      <c r="L46" s="2"/>
      <c r="M46" s="2"/>
      <c r="N46" s="2"/>
      <c r="O46" s="2"/>
      <c r="P46" s="2"/>
      <c r="Q46" s="2"/>
    </row>
    <row r="47" spans="1:18" s="15" customFormat="1" ht="49.2" customHeight="1" x14ac:dyDescent="0.25">
      <c r="A47" s="37">
        <v>211</v>
      </c>
      <c r="B47" s="37" t="s">
        <v>50</v>
      </c>
      <c r="C47" s="37" t="s">
        <v>310</v>
      </c>
      <c r="D47" s="37" t="s">
        <v>301</v>
      </c>
      <c r="E47" s="37" t="s">
        <v>33</v>
      </c>
      <c r="F47" s="39" t="s">
        <v>450</v>
      </c>
      <c r="G47" s="37" t="s">
        <v>33</v>
      </c>
      <c r="H47" s="37" t="s">
        <v>33</v>
      </c>
      <c r="I47" s="37">
        <f>6500*9</f>
        <v>58500</v>
      </c>
      <c r="J47" s="37" t="s">
        <v>247</v>
      </c>
      <c r="K47" s="43">
        <f t="shared" ref="K47:K48" si="1">400/60</f>
        <v>6.666666666666667</v>
      </c>
      <c r="L47" s="37" t="s">
        <v>33</v>
      </c>
      <c r="M47" s="37" t="s">
        <v>33</v>
      </c>
      <c r="N47" s="37" t="s">
        <v>33</v>
      </c>
      <c r="O47" s="37" t="s">
        <v>33</v>
      </c>
      <c r="P47" s="37" t="s">
        <v>33</v>
      </c>
      <c r="Q47" s="37" t="s">
        <v>33</v>
      </c>
      <c r="R47" s="38"/>
    </row>
    <row r="48" spans="1:18" s="15" customFormat="1" ht="43.2" customHeight="1" x14ac:dyDescent="0.25">
      <c r="A48" s="37">
        <v>211</v>
      </c>
      <c r="B48" s="37" t="s">
        <v>448</v>
      </c>
      <c r="C48" s="37" t="s">
        <v>310</v>
      </c>
      <c r="D48" s="37" t="s">
        <v>301</v>
      </c>
      <c r="E48" s="37" t="s">
        <v>33</v>
      </c>
      <c r="F48" s="39" t="s">
        <v>449</v>
      </c>
      <c r="G48" s="37" t="s">
        <v>33</v>
      </c>
      <c r="H48" s="37" t="s">
        <v>33</v>
      </c>
      <c r="I48" s="37">
        <f>65000*0.1</f>
        <v>6500</v>
      </c>
      <c r="J48" s="37" t="s">
        <v>247</v>
      </c>
      <c r="K48" s="43">
        <f t="shared" si="1"/>
        <v>6.666666666666667</v>
      </c>
      <c r="L48" s="37" t="s">
        <v>33</v>
      </c>
      <c r="M48" s="37" t="s">
        <v>33</v>
      </c>
      <c r="N48" s="37" t="s">
        <v>33</v>
      </c>
      <c r="O48" s="37" t="s">
        <v>33</v>
      </c>
      <c r="P48" s="37" t="s">
        <v>33</v>
      </c>
      <c r="Q48" s="37" t="s">
        <v>33</v>
      </c>
      <c r="R48" s="38"/>
    </row>
    <row r="49" spans="1:17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spans="1:17" ht="14.2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 spans="1:17" ht="14.2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spans="1:17" ht="14.2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spans="1:17" ht="14.2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spans="1:17" ht="14.2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 spans="1:17" ht="14.25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 spans="1:17" ht="14.25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 spans="1:17" ht="14.25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</row>
  </sheetData>
  <phoneticPr fontId="10" type="noConversion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INDÚSTRIAS</vt:lpstr>
      <vt:lpstr>TABELA 2.3</vt:lpstr>
      <vt:lpstr>TABELA 3</vt:lpstr>
      <vt:lpstr>TABELA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Munhoz</dc:creator>
  <cp:lastModifiedBy>Lissandra Portela</cp:lastModifiedBy>
  <dcterms:created xsi:type="dcterms:W3CDTF">2025-07-29T18:40:04Z</dcterms:created>
  <dcterms:modified xsi:type="dcterms:W3CDTF">2026-04-27T18:46:47Z</dcterms:modified>
</cp:coreProperties>
</file>