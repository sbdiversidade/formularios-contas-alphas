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7F017F02-6BCC-473D-A569-0CDFE113199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L63" i="4" l="1"/>
  <c r="L64" i="4"/>
  <c r="L62" i="4"/>
  <c r="C46" i="3"/>
  <c r="C45" i="3"/>
  <c r="C44" i="3"/>
  <c r="C4" i="3"/>
  <c r="C42" i="3"/>
  <c r="F42" i="3"/>
  <c r="C33" i="3"/>
  <c r="C15" i="3"/>
  <c r="C8" i="3"/>
  <c r="E42" i="3"/>
  <c r="J54" i="4"/>
  <c r="J53" i="4"/>
  <c r="J52" i="4"/>
  <c r="L51" i="4"/>
  <c r="J51" i="4"/>
  <c r="L50" i="4"/>
  <c r="J49" i="4"/>
  <c r="J50" i="4"/>
  <c r="J48" i="4"/>
  <c r="L48" i="4"/>
  <c r="L47" i="4"/>
  <c r="J47" i="4"/>
  <c r="F33" i="3"/>
  <c r="E33" i="3"/>
  <c r="F28" i="3"/>
  <c r="E28" i="3"/>
  <c r="G17" i="3"/>
  <c r="C17" i="3"/>
  <c r="G15" i="3"/>
  <c r="G14" i="3"/>
  <c r="C14" i="3"/>
  <c r="F29" i="3"/>
  <c r="E29" i="3"/>
  <c r="R9" i="4"/>
  <c r="R8" i="4"/>
  <c r="R7" i="4"/>
  <c r="R6" i="4"/>
  <c r="R5" i="4"/>
  <c r="F8" i="3"/>
  <c r="E8" i="3"/>
  <c r="F7" i="3"/>
  <c r="E7" i="3"/>
  <c r="C7" i="3"/>
  <c r="F6" i="3"/>
  <c r="E6" i="3"/>
  <c r="C6" i="3"/>
  <c r="F5" i="3"/>
  <c r="E5" i="3"/>
  <c r="C5" i="3"/>
  <c r="F4" i="3"/>
  <c r="E4" i="3"/>
  <c r="U4" i="1"/>
  <c r="L28" i="4"/>
  <c r="J28" i="4"/>
  <c r="L27" i="4"/>
  <c r="L26" i="4"/>
  <c r="J26" i="4"/>
  <c r="L15" i="4"/>
  <c r="J15" i="4"/>
  <c r="P14" i="4"/>
  <c r="L13" i="4"/>
  <c r="L12" i="4"/>
  <c r="J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<sst xmlns="http://schemas.openxmlformats.org/spreadsheetml/2006/main" count="1876" uniqueCount="622">
  <si>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</si>
  <si>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</si>
  <si>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</si>
  <si>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</si>
  <si>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</si>
  <si>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</si>
  <si>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</si>
  <si>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</si>
  <si>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</si>
  <si>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</si>
  <si>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</si>
  <si>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</si>
  <si>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</si>
  <si>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</si>
  <si>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</si>
  <si>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</si>
  <si>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</si>
  <si>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</si>
  <si>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</si>
  <si>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</si>
  <si>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</si>
  <si>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</si>
  <si>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</si>
  <si>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</si>
  <si>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</si>
  <si>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</si>
  <si>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</si>
  <si>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</si>
  <si>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</si>
  <si>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</si>
  <si>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</si>
  <si>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</si>
  <si>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</si>
  <si>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</si>
  <si>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</si>
  <si>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</si>
  <si>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</si>
  <si>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</si>
  <si>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</si>
  <si>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</si>
  <si>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</si>
  <si>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</si>
  <si>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</si>
  <si>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</si>
  <si>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</si>
  <si>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</si>
  <si>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</si>
  <si>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</si>
  <si>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</si>
  <si>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</si>
  <si>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</si>
  <si>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</si>
  <si>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</si>
  <si>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</si>
  <si>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</si>
  <si>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</si>
  <si>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</si>
  <si>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</si>
  <si>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</si>
  <si>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</si>
  <si>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</si>
  <si>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</si>
  <si>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</si>
  <si>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</si>
  <si>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</si>
  <si>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</si>
  <si>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</si>
  <si>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</si>
  <si>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</si>
  <si>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</si>
  <si>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</si>
  <si>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</si>
  <si>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</si>
  <si>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</si>
  <si>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</si>
  <si>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</si>
  <si>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</si>
  <si>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</si>
  <si>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</si>
  <si>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</si>
  <si>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</si>
  <si>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</si>
  <si>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</si>
  <si>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</si>
  <si>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</si>
  <si>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</si>
  <si>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</si>
  <si>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</si>
  <si>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</si>
  <si>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</si>
  <si>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</si>
  <si>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</si>
  <si>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</si>
  <si>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</si>
  <si>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</si>
  <si>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</si>
  <si>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</si>
  <si>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</si>
  <si>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</si>
  <si>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</si>
  <si>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</si>
  <si>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</si>
  <si>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</si>
  <si>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</si>
  <si>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</si>
  <si>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</si>
  <si>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</si>
  <si>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</si>
  <si>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</si>
  <si>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</si>
  <si>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</si>
  <si>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</si>
  <si>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</si>
  <si>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</si>
  <si>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</si>
  <si>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</si>
  <si>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</si>
  <si>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</si>
  <si>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</si>
  <si>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</si>
  <si>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</si>
  <si>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</si>
  <si>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</si>
  <si>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</si>
  <si>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</si>
  <si>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</si>
  <si>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</si>
  <si>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</si>
  <si>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</si>
  <si>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</si>
  <si>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</si>
  <si>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</si>
  <si>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</si>
  <si>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</si>
  <si>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</si>
  <si>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</si>
  <si>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</si>
  <si>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</si>
  <si>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</si>
  <si>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</si>
  <si>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</si>
  <si>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</si>
  <si>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</si>
  <si>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</si>
  <si>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</si>
  <si>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</si>
  <si>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</si>
  <si>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</si>
  <si>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</si>
  <si>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</si>
  <si>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</si>
  <si>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</si>
  <si>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</si>
  <si>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</si>
  <si>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</si>
  <si>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</si>
  <si>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</si>
  <si>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</si>
  <si>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</si>
  <si>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</si>
  <si>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</si>
  <si>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</si>
  <si>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</si>
  <si>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</si>
  <si>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</si>
  <si>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</si>
  <si>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</si>
  <si>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</si>
  <si>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</si>
  <si>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</si>
  <si>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</si>
  <si>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</si>
  <si>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</si>
  <si>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</si>
  <si>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</si>
  <si>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</si>
  <si>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</si>
  <si>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</si>
  <si>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</si>
  <si>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</si>
  <si>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</si>
  <si>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</si>
  <si>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</si>
  <si>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</si>
  <si>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</si>
  <si>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</si>
  <si>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</si>
  <si>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</si>
  <si>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</si>
  <si>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</si>
  <si>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</si>
  <si>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</si>
  <si>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</si>
  <si>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</si>
  <si>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</si>
  <si>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</si>
  <si>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</si>
  <si>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</si>
  <si>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</si>
  <si>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</si>
  <si>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</si>
  <si>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</si>
  <si>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</si>
  <si>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</si>
  <si>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</si>
  <si>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</si>
  <si>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</si>
  <si>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</si>
  <si>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</si>
  <si>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</si>
  <si>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</si>
  <si>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</si>
  <si>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</si>
  <si>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</si>
  <si>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</si>
  <si>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</si>
  <si>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</si>
  <si>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</si>
  <si>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</si>
  <si>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</si>
  <si>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</si>
  <si>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</si>
  <si>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</si>
  <si>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</si>
  <si>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</si>
  <si>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</si>
  <si>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</si>
  <si>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</si>
  <si>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</si>
  <si>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</si>
  <si>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</si>
  <si>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</si>
  <si>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</si>
  <si>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</si>
  <si>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</si>
  <si>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</si>
  <si>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</si>
  <si>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</si>
  <si>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</si>
  <si>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</si>
  <si>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</si>
  <si>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</si>
  <si>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</si>
  <si>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</si>
  <si>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</si>
  <si>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</si>
  <si>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</si>
  <si>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</si>
  <si>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</si>
  <si>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</si>
  <si>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</si>
  <si>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</si>
  <si>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</si>
  <si>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</si>
  <si>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</si>
  <si>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</si>
  <si>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</si>
  <si>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</si>
  <si>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</si>
  <si>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</si>
  <si>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</si>
  <si>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</si>
  <si>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</si>
  <si>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</si>
  <si>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</si>
  <si>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</si>
  <si>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</si>
  <si>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</si>
  <si>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</si>
  <si>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</si>
  <si>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</si>
  <si>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</si>
  <si>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</si>
  <si>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</si>
  <si>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</si>
  <si>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</si>
  <si>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</si>
  <si>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</si>
  <si>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</si>
  <si>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</si>
  <si>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</si>
  <si>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</si>
  <si>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</si>
  <si>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</si>
  <si>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</si>
  <si>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</si>
  <si>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</si>
  <si>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</si>
  <si>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</si>
  <si>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</si>
  <si>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</si>
  <si>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</si>
  <si>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</si>
  <si>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</si>
  <si>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</si>
  <si>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</si>
  <si>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</si>
  <si>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</si>
  <si>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</si>
  <si>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</si>
  <si>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</si>
  <si>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</si>
  <si>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</si>
  <si>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</si>
  <si>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</si>
  <si>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</si>
  <si>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</si>
  <si>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</si>
  <si>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</si>
  <si>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</si>
  <si>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</si>
  <si>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</si>
  <si>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</si>
  <si>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</si>
  <si>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</si>
  <si>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</si>
  <si>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</si>
  <si>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</si>
  <si>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</si>
  <si>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</si>
  <si>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</si>
  <si>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</si>
  <si>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</si>
  <si>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</si>
  <si>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</si>
  <si>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</si>
  <si>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</si>
  <si>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</si>
  <si>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</si>
  <si>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</si>
  <si>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</si>
  <si>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</si>
  <si>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</si>
  <si>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</si>
  <si>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</si>
  <si>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</si>
  <si>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</si>
  <si>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</si>
  <si>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</si>
  <si>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</si>
  <si>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</si>
  <si>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</si>
  <si>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</si>
  <si>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</si>
  <si>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</si>
  <si>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</si>
  <si>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</si>
  <si>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</si>
  <si>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</si>
  <si>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</si>
  <si>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</si>
  <si>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</si>
  <si>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</si>
  <si>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</si>
  <si>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</si>
  <si>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</si>
  <si>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</si>
  <si>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</si>
  <si>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</si>
  <si>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</si>
  <si>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</si>
  <si>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</si>
  <si>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</si>
  <si>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</si>
  <si>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</si>
  <si>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</si>
  <si>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</si>
  <si>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</si>
  <si>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</si>
  <si>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</si>
  <si>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</si>
  <si>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</si>
  <si>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</si>
  <si>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</si>
  <si>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</si>
  <si>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</si>
  <si>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</si>
  <si>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</si>
  <si>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</si>
  <si>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</si>
  <si>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</si>
  <si>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</si>
  <si>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</si>
  <si>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</si>
  <si>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</si>
  <si>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</si>
  <si>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</si>
  <si>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</si>
  <si>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</si>
  <si>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</si>
  <si>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</si>
  <si>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</si>
  <si>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</si>
  <si>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</si>
  <si>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</si>
  <si>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</si>
  <si>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</si>
  <si>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</si>
  <si>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</si>
  <si>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</si>
  <si>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</si>
  <si>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</si>
  <si>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</si>
  <si>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</si>
  <si>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</si>
  <si>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</si>
  <si>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</si>
  <si>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</si>
  <si>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</si>
  <si>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</si>
  <si>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</si>
  <si>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</si>
  <si>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</si>
  <si>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</si>
  <si>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</si>
  <si>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</si>
  <si>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</si>
  <si>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</si>
  <si>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</si>
  <si>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</si>
  <si>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</si>
  <si>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</si>
  <si>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</si>
  <si>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</si>
  <si>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</si>
  <si>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</si>
  <si>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</si>
  <si>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</si>
  <si>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</si>
  <si>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</si>
  <si>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</si>
  <si>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</si>
  <si>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</si>
  <si>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</si>
  <si>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</si>
  <si>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</si>
  <si>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</si>
  <si>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</si>
  <si>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</si>
  <si>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</si>
  <si>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</si>
  <si>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</si>
  <si>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</si>
  <si>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</si>
  <si>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</si>
  <si>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</si>
  <si>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</si>
  <si>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</si>
  <si>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</si>
  <si>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</si>
  <si>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</si>
  <si>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</si>
  <si>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</si>
  <si>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</si>
  <si>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</si>
  <si>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</si>
  <si>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</si>
  <si>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</si>
  <si>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</si>
  <si>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</si>
  <si>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</si>
  <si>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</si>
  <si>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</si>
  <si>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</si>
  <si>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</si>
  <si>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</si>
  <si>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</si>
  <si>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</si>
  <si>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</si>
  <si>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</si>
  <si>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</si>
  <si>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</si>
  <si>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</si>
  <si>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</si>
  <si>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</si>
  <si>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</si>
  <si>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</si>
  <si>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</si>
  <si>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</si>
  <si>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</si>
  <si>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</si>
  <si>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</si>
  <si>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</si>
  <si>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</si>
  <si>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</si>
  <si>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</si>
  <si>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</si>
  <si>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</si>
  <si>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</si>
  <si>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</si>
  <si>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</si>
  <si>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</si>
  <si>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</si>
  <si>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</si>
  <si>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</si>
  <si>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</si>
  <si>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</si>
  <si>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</si>
  <si>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</si>
  <si>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</si>
  <si>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</si>
  <si>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</si>
  <si>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</si>
  <si>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</si>
  <si>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</si>
  <si>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</si>
  <si>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</si>
  <si>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</si>
  <si>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</si>
  <si>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</si>
  <si>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</si>
  <si>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</si>
  <si>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</si>
  <si>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</si>
  <si>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</si>
  <si>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</si>
  <si>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</si>
  <si>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</si>
  <si>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</si>
  <si>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</si>
  <si>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</si>
  <si>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</si>
  <si>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</si>
  <si>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</si>
  <si>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</si>
  <si>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</si>
  <si>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</si>
  <si>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</si>
  <si>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</si>
  <si>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</si>
  <si>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</si>
  <si>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</si>
  <si>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</si>
  <si>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</si>
  <si>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</si>
  <si>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</si>
  <si>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</si>
  <si>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</si>
  <si>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</si>
  <si>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</si>
  <si>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</si>
  <si>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</si>
  <si>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</si>
  <si>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</si>
  <si>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</si>
  <si>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</si>
  <si>
    <t>Luiz</t>
  </si>
  <si>
    <t>Abraão Chocron</t>
  </si>
  <si>
    <t>Mundial Exportadora</t>
  </si>
  <si>
    <t>Óbidos - PA</t>
  </si>
  <si>
    <t>32 pessoas</t>
  </si>
  <si>
    <t>Safra</t>
  </si>
  <si>
    <t>Castanha do Pará e Cumaru</t>
  </si>
  <si>
    <t>Todos</t>
  </si>
  <si>
    <t>Cumaru é limpo e escolhido. E a castanha com e sem casca</t>
  </si>
  <si>
    <t>castanha: 120 a 150 sacos. Cumaru: 10 a 18 toneladas</t>
  </si>
  <si>
    <t>SACA= 60 KG. TONELADA = 1000 KG</t>
  </si>
  <si>
    <t>Tem contrato</t>
  </si>
  <si>
    <t>1600 caixas em container</t>
  </si>
  <si>
    <t>7 anos, mas tem muito produtor novo</t>
  </si>
  <si>
    <t>Alenquer, Óbidos, Oriximiná</t>
  </si>
  <si>
    <t>Santarém - Japonês, Manaus, Alenquer, Óbidos, Oriximiná</t>
  </si>
  <si>
    <t>Claúdio, Raimundo e Edenilson (Dinho)</t>
  </si>
  <si>
    <t>Cumaru (seco)</t>
  </si>
  <si>
    <t>José Vitor</t>
  </si>
  <si>
    <t>Rafael</t>
  </si>
  <si>
    <t>Sorveteria Boto</t>
  </si>
  <si>
    <t>Sorvetes, casquinhas, biscoitos, bolos, flocos de casquinha, castanha chocolateada, pacotes de sementes de cumaru, geleias.</t>
  </si>
  <si>
    <t>Sorvetes, castanha chocolateada, pacotes de sementes de cumaru</t>
  </si>
  <si>
    <t xml:space="preserve">Castanha: 3 caixas (60kg); Cumaru 3 a 4kg; Mel: 3 a 4 litros. </t>
  </si>
  <si>
    <t>Contratos Verbais</t>
  </si>
  <si>
    <t>Sorvete de mel: 1 kg de mel por cuba, gera 4kg de sorvete. Sorvete de Cumaru: 6 a 8 g de cumaru por cuba, gera 4kg. Sorvete de castanha: 2 a 3 kg de castanha por cuba. Casquinha de cumaru, 8 a 10 g para 150 und.</t>
  </si>
  <si>
    <t>Cop 30 e eventos da prefeitura</t>
  </si>
  <si>
    <t>Mercado livre e gráficas locais, embalagens personalizadas.</t>
  </si>
  <si>
    <t>15 pessoas</t>
  </si>
  <si>
    <t>Funciona em 3 turnos, com escala</t>
  </si>
  <si>
    <t>Escala</t>
  </si>
  <si>
    <t>Cumaru seco</t>
  </si>
  <si>
    <t>Castanha do Pará</t>
  </si>
  <si>
    <t>Reginaldo (Mercadão 2000)</t>
  </si>
  <si>
    <t>Intermediário</t>
  </si>
  <si>
    <t>Produz e processa</t>
  </si>
  <si>
    <t>Produz (criação própria de abelhas)</t>
  </si>
  <si>
    <t>6 a 7 anos</t>
  </si>
  <si>
    <t>Cerca de 10 anos</t>
  </si>
  <si>
    <t>Sim, a funcionária morou e trabalhou com eles há mais de 15 anos.</t>
  </si>
  <si>
    <t>Apenas negócio</t>
  </si>
  <si>
    <t>Relação comercial de longa data, com certa amizade/prioridade no atendimento</t>
  </si>
  <si>
    <t>Santarém, área mais afastada</t>
  </si>
  <si>
    <t>Dona Eliete</t>
  </si>
  <si>
    <t>Eles vão buscar</t>
  </si>
  <si>
    <t>Eles vão buscar de carro no mercadão</t>
  </si>
  <si>
    <t>Despacham de barco p/ Stm, e pegam aqui no porto</t>
  </si>
  <si>
    <t>Não tem</t>
  </si>
  <si>
    <t>A Boto</t>
  </si>
  <si>
    <t>Pagam 15 reais por caixa de 20kg</t>
  </si>
  <si>
    <t>Carro</t>
  </si>
  <si>
    <t>Sorvete de mel</t>
  </si>
  <si>
    <t>Sorvete de cumaru</t>
  </si>
  <si>
    <t>Sorvete de castanha</t>
  </si>
  <si>
    <t>Casquinha de cumaru</t>
  </si>
  <si>
    <t>Pacote com 10 sementes de cumaru</t>
  </si>
  <si>
    <t>Casquinha</t>
  </si>
  <si>
    <t>Ano todo</t>
  </si>
  <si>
    <t>Prefeitura de Santarém</t>
  </si>
  <si>
    <t>COP 30 (evento); Fispal (Feira)</t>
  </si>
  <si>
    <t xml:space="preserve">Natural Tech (Feira). Eventos do Sebrae. Projeto Oca Hub </t>
  </si>
  <si>
    <t xml:space="preserve">Sebrae </t>
  </si>
  <si>
    <t>1 kg de mel por cuba, gera 4kg de sorvete</t>
  </si>
  <si>
    <t>P/ consumidor final</t>
  </si>
  <si>
    <t>6 a 8 g de cumaru por cuba, gera 4kg</t>
  </si>
  <si>
    <t>2 a 3 kg de castanha por cuba, gera 4kg</t>
  </si>
  <si>
    <t>8 a 10 g para 150 und.</t>
  </si>
  <si>
    <t>Castanha Tene</t>
  </si>
  <si>
    <t>Castanha em pedaço</t>
  </si>
  <si>
    <t>Castanha Miúda</t>
  </si>
  <si>
    <t>Castanha Graúda</t>
  </si>
  <si>
    <t>Castanha extra large</t>
  </si>
  <si>
    <t>Vende localmente, no Pará, em São Paulo e Rio de Janeiro</t>
  </si>
  <si>
    <t>100% externo</t>
  </si>
  <si>
    <t>Incluso no preço</t>
  </si>
  <si>
    <t>Porcentagem de Perda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</si>
</sst>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O15" activePane="bottomRight" state="frozen"/>
      <selection pane="topRight" activeCell="H1" sqref="H1"/>
      <selection pane="bottomLeft" activeCell="A3" sqref="A3"/>
      <selection pane="bottomRight" activeCell="P16" sqref="P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8.33203125" customWidth="1"/>
    <col min="17" max="17" width="12" customWidth="1"/>
    <col min="18" max="18" width="11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6" t="s">
        <v>0</v>
      </c>
      <c r="B1" s="67"/>
      <c r="C1" s="67"/>
      <c r="D1" s="67"/>
      <c r="E1" s="67"/>
      <c r="F1" s="67"/>
      <c r="G1" s="68"/>
      <c r="H1" s="69" t="s">
        <v>1</v>
      </c>
      <c r="I1" s="70"/>
      <c r="J1" s="70"/>
      <c r="K1" s="71"/>
      <c r="L1" s="69" t="s">
        <v>2</v>
      </c>
      <c r="M1" s="70"/>
      <c r="N1" s="70"/>
      <c r="O1" s="71"/>
      <c r="P1" s="69" t="s">
        <v>3</v>
      </c>
      <c r="Q1" s="70"/>
      <c r="R1" s="70"/>
      <c r="S1" s="70"/>
      <c r="T1" s="71"/>
      <c r="U1" s="72" t="s">
        <v>4</v>
      </c>
      <c r="V1" s="70"/>
      <c r="W1" s="70"/>
      <c r="X1" s="70"/>
      <c r="Y1" s="70"/>
      <c r="Z1" s="71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48.6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 t="s">
        <v>33</v>
      </c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60" t="s">
        <v>516</v>
      </c>
    </row>
    <row r="15" spans="1:27" s="51" customFormat="1" ht="65.400000000000006" customHeight="1" x14ac:dyDescent="0.25">
      <c r="A15" s="4">
        <v>213</v>
      </c>
      <c r="B15" s="5">
        <v>46101</v>
      </c>
      <c r="C15" s="4" t="s">
        <v>546</v>
      </c>
      <c r="D15" s="4" t="s">
        <v>547</v>
      </c>
      <c r="E15" s="4" t="s">
        <v>548</v>
      </c>
      <c r="F15" s="4" t="s">
        <v>33</v>
      </c>
      <c r="G15" s="4" t="s">
        <v>549</v>
      </c>
      <c r="H15" s="4" t="s">
        <v>552</v>
      </c>
      <c r="I15" s="4" t="s">
        <v>553</v>
      </c>
      <c r="J15" s="6" t="s">
        <v>554</v>
      </c>
      <c r="K15" s="4" t="s">
        <v>33</v>
      </c>
      <c r="L15" s="6" t="s">
        <v>556</v>
      </c>
      <c r="M15" s="6" t="s">
        <v>555</v>
      </c>
      <c r="N15" s="4" t="s">
        <v>33</v>
      </c>
      <c r="O15" s="4" t="s">
        <v>557</v>
      </c>
      <c r="P15" s="4" t="s">
        <v>33</v>
      </c>
      <c r="Q15" s="4" t="s">
        <v>37</v>
      </c>
      <c r="R15" s="6" t="s">
        <v>558</v>
      </c>
      <c r="S15" s="4" t="s">
        <v>33</v>
      </c>
      <c r="T15" s="4" t="s">
        <v>33</v>
      </c>
      <c r="U15" s="4" t="s">
        <v>550</v>
      </c>
      <c r="V15" s="4" t="s">
        <v>33</v>
      </c>
      <c r="W15" s="4" t="s">
        <v>33</v>
      </c>
      <c r="X15" s="4" t="s">
        <v>83</v>
      </c>
      <c r="Y15" s="4" t="s">
        <v>551</v>
      </c>
      <c r="Z15" s="4" t="s">
        <v>134</v>
      </c>
    </row>
    <row r="16" spans="1:27" s="51" customFormat="1" ht="190.2" customHeight="1" x14ac:dyDescent="0.25">
      <c r="A16" s="4">
        <v>214</v>
      </c>
      <c r="B16" s="4"/>
      <c r="C16" s="4" t="s">
        <v>564</v>
      </c>
      <c r="D16" s="4" t="s">
        <v>565</v>
      </c>
      <c r="E16" s="4" t="s">
        <v>566</v>
      </c>
      <c r="F16" s="4" t="s">
        <v>33</v>
      </c>
      <c r="G16" s="4" t="s">
        <v>34</v>
      </c>
      <c r="H16" s="6" t="s">
        <v>567</v>
      </c>
      <c r="I16" s="6" t="s">
        <v>568</v>
      </c>
      <c r="J16" s="4" t="s">
        <v>64</v>
      </c>
      <c r="K16" s="4" t="s">
        <v>33</v>
      </c>
      <c r="L16" s="4" t="s">
        <v>33</v>
      </c>
      <c r="M16" s="6" t="s">
        <v>569</v>
      </c>
      <c r="N16" s="4" t="s">
        <v>33</v>
      </c>
      <c r="O16" s="4" t="s">
        <v>570</v>
      </c>
      <c r="P16" s="6" t="s">
        <v>571</v>
      </c>
      <c r="Q16" s="6" t="s">
        <v>572</v>
      </c>
      <c r="R16" s="6" t="s">
        <v>33</v>
      </c>
      <c r="S16" s="6" t="s">
        <v>573</v>
      </c>
      <c r="T16" s="4" t="s">
        <v>33</v>
      </c>
      <c r="U16" s="4" t="s">
        <v>574</v>
      </c>
      <c r="V16" s="6" t="s">
        <v>575</v>
      </c>
      <c r="W16" s="4" t="s">
        <v>442</v>
      </c>
      <c r="X16" s="4" t="s">
        <v>83</v>
      </c>
      <c r="Y16" s="4" t="s">
        <v>576</v>
      </c>
      <c r="Z16" s="4" t="s">
        <v>33</v>
      </c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pane xSplit="1" ySplit="1" topLeftCell="B36" activePane="bottomRight" state="frozen"/>
      <selection pane="topRight" activeCell="B1" sqref="B1"/>
      <selection pane="bottomLeft" activeCell="A2" sqref="A2"/>
      <selection pane="bottomRight" activeCell="F45" sqref="F45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9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 t="s">
        <v>33</v>
      </c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 t="s">
        <v>33</v>
      </c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 t="s">
        <v>33</v>
      </c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 t="s">
        <v>33</v>
      </c>
    </row>
    <row r="36" spans="1:10" s="51" customFormat="1" ht="43.2" customHeight="1" x14ac:dyDescent="0.25">
      <c r="A36" s="4">
        <v>212</v>
      </c>
      <c r="B36" s="4" t="s">
        <v>168</v>
      </c>
      <c r="C36" s="4" t="s">
        <v>33</v>
      </c>
      <c r="D36" s="4" t="s">
        <v>33</v>
      </c>
      <c r="E36" s="4" t="s">
        <v>33</v>
      </c>
      <c r="F36" s="4" t="s">
        <v>33</v>
      </c>
      <c r="G36" s="4" t="s">
        <v>33</v>
      </c>
      <c r="H36" s="6" t="s">
        <v>515</v>
      </c>
      <c r="I36" s="4" t="s">
        <v>33</v>
      </c>
      <c r="J36" s="4" t="s">
        <v>33</v>
      </c>
    </row>
    <row r="37" spans="1:10" s="51" customFormat="1" ht="62.4" customHeight="1" x14ac:dyDescent="0.25">
      <c r="A37" s="4">
        <v>213</v>
      </c>
      <c r="B37" s="4" t="s">
        <v>50</v>
      </c>
      <c r="C37" s="4" t="s">
        <v>33</v>
      </c>
      <c r="D37" s="4" t="s">
        <v>33</v>
      </c>
      <c r="E37" s="6" t="s">
        <v>559</v>
      </c>
      <c r="F37" s="4" t="s">
        <v>33</v>
      </c>
      <c r="G37" s="4" t="s">
        <v>33</v>
      </c>
      <c r="H37" s="6" t="s">
        <v>560</v>
      </c>
      <c r="I37" s="6" t="s">
        <v>562</v>
      </c>
      <c r="J37" s="4" t="s">
        <v>33</v>
      </c>
    </row>
    <row r="38" spans="1:10" s="51" customFormat="1" ht="84.6" customHeight="1" x14ac:dyDescent="0.25">
      <c r="A38" s="4">
        <v>213</v>
      </c>
      <c r="B38" s="4" t="s">
        <v>278</v>
      </c>
      <c r="C38" s="4" t="s">
        <v>33</v>
      </c>
      <c r="D38" s="4" t="s">
        <v>33</v>
      </c>
      <c r="E38" s="4" t="s">
        <v>33</v>
      </c>
      <c r="F38" s="4" t="s">
        <v>33</v>
      </c>
      <c r="G38" s="4" t="s">
        <v>33</v>
      </c>
      <c r="H38" s="6" t="s">
        <v>561</v>
      </c>
      <c r="I38" s="6" t="s">
        <v>562</v>
      </c>
      <c r="J38" s="4" t="s">
        <v>33</v>
      </c>
    </row>
    <row r="39" spans="1:10" s="51" customFormat="1" ht="64.2" customHeight="1" x14ac:dyDescent="0.25">
      <c r="A39" s="4">
        <v>214</v>
      </c>
      <c r="B39" s="4" t="s">
        <v>168</v>
      </c>
      <c r="C39" s="4" t="s">
        <v>33</v>
      </c>
      <c r="D39" s="6" t="s">
        <v>582</v>
      </c>
      <c r="E39" s="4" t="s">
        <v>583</v>
      </c>
      <c r="F39" s="4" t="s">
        <v>33</v>
      </c>
      <c r="G39" s="6" t="s">
        <v>585</v>
      </c>
      <c r="H39" s="6" t="s">
        <v>588</v>
      </c>
      <c r="I39" s="4" t="s">
        <v>589</v>
      </c>
      <c r="J39" s="4"/>
    </row>
    <row r="40" spans="1:10" s="51" customFormat="1" ht="29.4" customHeight="1" x14ac:dyDescent="0.25">
      <c r="A40" s="4">
        <v>214</v>
      </c>
      <c r="B40" s="4" t="s">
        <v>577</v>
      </c>
      <c r="C40" s="6" t="s">
        <v>579</v>
      </c>
      <c r="D40" s="4" t="s">
        <v>580</v>
      </c>
      <c r="E40" s="4" t="s">
        <v>153</v>
      </c>
      <c r="F40" s="4" t="s">
        <v>33</v>
      </c>
      <c r="G40" s="4" t="s">
        <v>586</v>
      </c>
      <c r="H40" s="4" t="s">
        <v>34</v>
      </c>
      <c r="I40" s="4" t="s">
        <v>33</v>
      </c>
      <c r="J40" s="4">
        <v>93991788294</v>
      </c>
    </row>
    <row r="41" spans="1:10" s="51" customFormat="1" ht="79.8" customHeight="1" x14ac:dyDescent="0.25">
      <c r="A41" s="4">
        <v>214</v>
      </c>
      <c r="B41" s="4" t="s">
        <v>578</v>
      </c>
      <c r="C41" s="4" t="s">
        <v>548</v>
      </c>
      <c r="D41" s="4" t="s">
        <v>581</v>
      </c>
      <c r="E41" s="6" t="s">
        <v>584</v>
      </c>
      <c r="F41" s="4" t="s">
        <v>33</v>
      </c>
      <c r="G41" s="6" t="s">
        <v>587</v>
      </c>
      <c r="H41" s="4" t="s">
        <v>393</v>
      </c>
      <c r="I41" s="4" t="s">
        <v>33</v>
      </c>
      <c r="J41" s="4">
        <v>93991529656</v>
      </c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workbookViewId="0">
      <pane xSplit="1" ySplit="1" topLeftCell="I37" activePane="bottomRight" state="frozen"/>
      <selection pane="topRight" activeCell="B1" sqref="B1"/>
      <selection pane="bottomLeft" activeCell="A2" sqref="A2"/>
      <selection pane="bottomRight" activeCell="N42" sqref="N42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75" t="s">
        <v>29</v>
      </c>
      <c r="B2" s="77" t="s">
        <v>50</v>
      </c>
      <c r="C2" s="21">
        <v>20</v>
      </c>
      <c r="D2" s="22" t="s">
        <v>361</v>
      </c>
      <c r="E2" s="19">
        <v>65</v>
      </c>
      <c r="F2" s="19">
        <v>65</v>
      </c>
      <c r="G2" s="73" t="s">
        <v>33</v>
      </c>
      <c r="H2" s="73" t="s">
        <v>247</v>
      </c>
      <c r="I2" s="73" t="s">
        <v>33</v>
      </c>
      <c r="J2" s="73"/>
      <c r="K2" s="73" t="s">
        <v>248</v>
      </c>
      <c r="L2" s="73" t="s">
        <v>249</v>
      </c>
      <c r="M2" s="73" t="s">
        <v>33</v>
      </c>
      <c r="N2" s="73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76"/>
      <c r="B3" s="78"/>
      <c r="C3" s="21">
        <v>10</v>
      </c>
      <c r="D3" s="22" t="s">
        <v>362</v>
      </c>
      <c r="E3" s="19">
        <v>55</v>
      </c>
      <c r="F3" s="19">
        <v>55</v>
      </c>
      <c r="G3" s="74"/>
      <c r="H3" s="74"/>
      <c r="I3" s="74"/>
      <c r="J3" s="74"/>
      <c r="K3" s="74"/>
      <c r="L3" s="74"/>
      <c r="M3" s="74"/>
      <c r="N3" s="74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7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>10*1000</f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>AVERAGE(1,2)</f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1" t="s">
        <v>33</v>
      </c>
      <c r="M34" s="4" t="s">
        <v>523</v>
      </c>
      <c r="N34" s="55" t="s">
        <v>522</v>
      </c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57" t="s">
        <v>33</v>
      </c>
      <c r="M35" s="54" t="s">
        <v>33</v>
      </c>
      <c r="N35" s="4" t="s">
        <v>33</v>
      </c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55" t="s">
        <v>522</v>
      </c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51" t="s">
        <v>33</v>
      </c>
      <c r="M37" s="4" t="s">
        <v>526</v>
      </c>
      <c r="N37" s="4" t="s">
        <v>525</v>
      </c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 t="s">
        <v>33</v>
      </c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51" t="s">
        <v>33</v>
      </c>
      <c r="M39" s="6" t="s">
        <v>528</v>
      </c>
      <c r="N39" s="4" t="s">
        <v>527</v>
      </c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 t="s">
        <v>33</v>
      </c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 t="s">
        <v>33</v>
      </c>
    </row>
    <row r="42" spans="1:14" s="51" customFormat="1" ht="14.25" customHeight="1" x14ac:dyDescent="0.25">
      <c r="A42" s="4">
        <v>213</v>
      </c>
      <c r="B42" s="4" t="s">
        <v>50</v>
      </c>
      <c r="C42" s="4">
        <f>12500*60</f>
        <v>750000</v>
      </c>
      <c r="D42" s="4" t="s">
        <v>247</v>
      </c>
      <c r="E42" s="4">
        <f>730/2</f>
        <v>365</v>
      </c>
      <c r="F42" s="4">
        <f>1120/2</f>
        <v>560</v>
      </c>
      <c r="G42" s="4" t="s">
        <v>33</v>
      </c>
      <c r="H42" s="4" t="s">
        <v>247</v>
      </c>
      <c r="I42" s="4" t="s">
        <v>33</v>
      </c>
      <c r="J42" s="4" t="s">
        <v>33</v>
      </c>
      <c r="K42" s="4" t="s">
        <v>33</v>
      </c>
      <c r="L42" s="4" t="s">
        <v>620</v>
      </c>
      <c r="M42" s="4" t="s">
        <v>33</v>
      </c>
      <c r="N42" s="4" t="s">
        <v>33</v>
      </c>
    </row>
    <row r="43" spans="1:14" s="51" customFormat="1" ht="14.25" customHeight="1" x14ac:dyDescent="0.25">
      <c r="A43" s="4">
        <v>213</v>
      </c>
      <c r="B43" s="4" t="s">
        <v>563</v>
      </c>
      <c r="C43" s="61">
        <v>102000</v>
      </c>
      <c r="D43" s="4" t="s">
        <v>247</v>
      </c>
      <c r="E43" s="4">
        <v>160</v>
      </c>
      <c r="F43" s="4">
        <v>200</v>
      </c>
      <c r="G43" s="4" t="s">
        <v>33</v>
      </c>
      <c r="H43" s="4" t="s">
        <v>247</v>
      </c>
      <c r="I43" s="4" t="s">
        <v>33</v>
      </c>
      <c r="J43" s="4" t="s">
        <v>33</v>
      </c>
      <c r="K43" s="4" t="s">
        <v>33</v>
      </c>
      <c r="L43" s="4" t="s">
        <v>620</v>
      </c>
      <c r="M43" s="4" t="s">
        <v>33</v>
      </c>
      <c r="N43" s="4" t="s">
        <v>33</v>
      </c>
    </row>
    <row r="44" spans="1:14" s="51" customFormat="1" ht="13.8" customHeight="1" x14ac:dyDescent="0.25">
      <c r="A44" s="4">
        <v>214</v>
      </c>
      <c r="B44" s="4" t="s">
        <v>168</v>
      </c>
      <c r="C44" s="4">
        <f>15/12</f>
        <v>1.25</v>
      </c>
      <c r="D44" s="4" t="s">
        <v>252</v>
      </c>
      <c r="E44" s="4">
        <v>55</v>
      </c>
      <c r="F44" s="4">
        <v>55</v>
      </c>
      <c r="G44" s="4" t="s">
        <v>33</v>
      </c>
      <c r="H44" s="4" t="s">
        <v>252</v>
      </c>
      <c r="I44" s="4" t="s">
        <v>33</v>
      </c>
      <c r="J44" s="4" t="s">
        <v>33</v>
      </c>
      <c r="K44" s="4" t="s">
        <v>590</v>
      </c>
      <c r="L44" s="4" t="s">
        <v>593</v>
      </c>
      <c r="M44" s="4" t="s">
        <v>33</v>
      </c>
      <c r="N44" s="4" t="s">
        <v>596</v>
      </c>
    </row>
    <row r="45" spans="1:14" s="51" customFormat="1" ht="45" customHeight="1" x14ac:dyDescent="0.25">
      <c r="A45" s="4">
        <v>214</v>
      </c>
      <c r="B45" s="4" t="s">
        <v>278</v>
      </c>
      <c r="C45" s="4">
        <f>45/12</f>
        <v>3.75</v>
      </c>
      <c r="D45" s="4" t="s">
        <v>247</v>
      </c>
      <c r="E45" s="4">
        <v>150</v>
      </c>
      <c r="F45" s="4">
        <v>150</v>
      </c>
      <c r="G45" s="4" t="s">
        <v>33</v>
      </c>
      <c r="H45" s="4" t="s">
        <v>247</v>
      </c>
      <c r="I45" s="4" t="s">
        <v>33</v>
      </c>
      <c r="J45" s="4" t="s">
        <v>33</v>
      </c>
      <c r="K45" s="6" t="s">
        <v>591</v>
      </c>
      <c r="L45" s="4" t="s">
        <v>33</v>
      </c>
      <c r="M45" s="4" t="s">
        <v>33</v>
      </c>
      <c r="N45" s="4" t="s">
        <v>596</v>
      </c>
    </row>
    <row r="46" spans="1:14" s="51" customFormat="1" ht="57" customHeight="1" x14ac:dyDescent="0.25">
      <c r="A46" s="4">
        <v>214</v>
      </c>
      <c r="B46" s="4" t="s">
        <v>50</v>
      </c>
      <c r="C46" s="4">
        <f>300/12</f>
        <v>25</v>
      </c>
      <c r="D46" s="4" t="s">
        <v>247</v>
      </c>
      <c r="E46" s="4">
        <v>25</v>
      </c>
      <c r="F46" s="4">
        <v>25</v>
      </c>
      <c r="G46" s="4" t="s">
        <v>33</v>
      </c>
      <c r="H46" s="4" t="s">
        <v>247</v>
      </c>
      <c r="I46" s="4" t="s">
        <v>33</v>
      </c>
      <c r="J46" s="4" t="s">
        <v>33</v>
      </c>
      <c r="K46" s="6" t="s">
        <v>592</v>
      </c>
      <c r="L46" s="4" t="s">
        <v>594</v>
      </c>
      <c r="M46" s="6" t="s">
        <v>595</v>
      </c>
      <c r="N46" s="4" t="s">
        <v>396</v>
      </c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11"/>
  <sheetViews>
    <sheetView tabSelected="1" zoomScaleNormal="10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J57" sqref="J57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0.6640625" style="53" customWidth="1"/>
    <col min="7" max="7" width="19.33203125" customWidth="1"/>
    <col min="8" max="9" width="15.33203125" customWidth="1"/>
    <col min="10" max="10" width="14.5546875" customWidth="1"/>
    <col min="11" max="11" width="12.88671875" customWidth="1"/>
    <col min="12" max="12" width="12.33203125" customWidth="1"/>
    <col min="13" max="13" width="28.6640625" customWidth="1"/>
    <col min="14" max="14" width="16.6640625" customWidth="1"/>
    <col min="15" max="15" width="12.44140625" customWidth="1"/>
    <col min="16" max="16" width="18.44140625" customWidth="1"/>
    <col min="17" max="17" width="15.88671875" customWidth="1"/>
    <col min="18" max="18" width="18.6640625" customWidth="1"/>
    <col min="19" max="27" width="8.6640625" customWidth="1"/>
  </cols>
  <sheetData>
    <row r="1" spans="1:27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621</v>
      </c>
      <c r="J1" s="1" t="s">
        <v>293</v>
      </c>
      <c r="K1" s="1" t="s">
        <v>237</v>
      </c>
      <c r="L1" s="1" t="s">
        <v>294</v>
      </c>
      <c r="M1" s="1" t="s">
        <v>295</v>
      </c>
      <c r="N1" s="1" t="s">
        <v>296</v>
      </c>
      <c r="O1" s="1" t="s">
        <v>297</v>
      </c>
      <c r="P1" s="1" t="s">
        <v>298</v>
      </c>
      <c r="Q1" s="1" t="s">
        <v>296</v>
      </c>
      <c r="R1" s="1" t="s">
        <v>299</v>
      </c>
    </row>
    <row r="2" spans="1:27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/>
      <c r="J2" s="19">
        <v>40</v>
      </c>
      <c r="K2" s="19" t="s">
        <v>305</v>
      </c>
      <c r="L2" s="19">
        <v>28</v>
      </c>
      <c r="M2" s="19" t="s">
        <v>33</v>
      </c>
      <c r="N2" s="19" t="s">
        <v>363</v>
      </c>
      <c r="O2" s="19" t="s">
        <v>33</v>
      </c>
      <c r="P2" s="19" t="s">
        <v>364</v>
      </c>
      <c r="Q2" s="19" t="s">
        <v>365</v>
      </c>
      <c r="R2" s="19" t="s">
        <v>33</v>
      </c>
      <c r="S2" s="23"/>
      <c r="T2" s="23"/>
      <c r="U2" s="23"/>
      <c r="V2" s="23"/>
      <c r="W2" s="23"/>
      <c r="X2" s="23"/>
      <c r="Y2" s="23"/>
      <c r="Z2" s="23"/>
      <c r="AA2" s="23"/>
    </row>
    <row r="3" spans="1:27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/>
      <c r="J3" s="19">
        <v>140</v>
      </c>
      <c r="K3" s="19" t="s">
        <v>305</v>
      </c>
      <c r="L3" s="19">
        <v>18.489999999999998</v>
      </c>
      <c r="M3" s="19" t="s">
        <v>33</v>
      </c>
      <c r="N3" s="19" t="s">
        <v>363</v>
      </c>
      <c r="O3" s="19" t="s">
        <v>33</v>
      </c>
      <c r="P3" s="19" t="s">
        <v>364</v>
      </c>
      <c r="Q3" s="19" t="s">
        <v>365</v>
      </c>
      <c r="R3" s="19" t="s">
        <v>33</v>
      </c>
      <c r="S3" s="23"/>
      <c r="T3" s="23"/>
      <c r="U3" s="23"/>
      <c r="V3" s="23"/>
      <c r="W3" s="23"/>
      <c r="X3" s="23"/>
      <c r="Y3" s="23"/>
      <c r="Z3" s="23"/>
      <c r="AA3" s="23"/>
    </row>
    <row r="4" spans="1:27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/>
      <c r="J4" s="19">
        <v>20</v>
      </c>
      <c r="K4" s="19" t="s">
        <v>305</v>
      </c>
      <c r="L4" s="19">
        <v>28</v>
      </c>
      <c r="M4" s="19" t="s">
        <v>33</v>
      </c>
      <c r="N4" s="19" t="s">
        <v>363</v>
      </c>
      <c r="O4" s="19" t="s">
        <v>33</v>
      </c>
      <c r="P4" s="19" t="s">
        <v>364</v>
      </c>
      <c r="Q4" s="19" t="s">
        <v>365</v>
      </c>
      <c r="R4" s="19" t="s">
        <v>33</v>
      </c>
      <c r="S4" s="23"/>
      <c r="T4" s="23"/>
      <c r="U4" s="23"/>
      <c r="V4" s="23"/>
      <c r="W4" s="23"/>
      <c r="X4" s="23"/>
      <c r="Y4" s="23"/>
      <c r="Z4" s="23"/>
      <c r="AA4" s="23"/>
    </row>
    <row r="5" spans="1:27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/>
      <c r="J5" s="25">
        <v>300</v>
      </c>
      <c r="K5" s="25" t="s">
        <v>314</v>
      </c>
      <c r="L5" s="25">
        <v>140</v>
      </c>
      <c r="M5" s="28">
        <v>0.6</v>
      </c>
      <c r="N5" s="25" t="s">
        <v>370</v>
      </c>
      <c r="O5" s="27" t="s">
        <v>33</v>
      </c>
      <c r="P5" s="25">
        <v>0.2</v>
      </c>
      <c r="Q5" s="25" t="s">
        <v>370</v>
      </c>
      <c r="R5" s="31">
        <f t="shared" ref="R5:R9" si="0">IF(OR(ISBLANK(P5), P5="-"), "-", P5/M5)</f>
        <v>0.33333333333333337</v>
      </c>
    </row>
    <row r="6" spans="1:27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/>
      <c r="J6" s="25">
        <v>200</v>
      </c>
      <c r="K6" s="25" t="s">
        <v>314</v>
      </c>
      <c r="L6" s="25">
        <v>120</v>
      </c>
      <c r="M6" s="28">
        <v>0.6</v>
      </c>
      <c r="N6" s="25" t="s">
        <v>370</v>
      </c>
      <c r="O6" s="27" t="s">
        <v>33</v>
      </c>
      <c r="P6" s="25">
        <v>0.2</v>
      </c>
      <c r="Q6" s="25" t="s">
        <v>370</v>
      </c>
      <c r="R6" s="31">
        <f t="shared" si="0"/>
        <v>0.33333333333333337</v>
      </c>
    </row>
    <row r="7" spans="1:27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/>
      <c r="J7" s="25">
        <v>50</v>
      </c>
      <c r="K7" s="25" t="s">
        <v>314</v>
      </c>
      <c r="L7" s="25">
        <v>130</v>
      </c>
      <c r="M7" s="28">
        <v>0.6</v>
      </c>
      <c r="N7" s="25" t="s">
        <v>370</v>
      </c>
      <c r="O7" s="27" t="s">
        <v>33</v>
      </c>
      <c r="P7" s="25">
        <v>0.2</v>
      </c>
      <c r="Q7" s="25" t="s">
        <v>370</v>
      </c>
      <c r="R7" s="31">
        <f t="shared" si="0"/>
        <v>0.33333333333333337</v>
      </c>
    </row>
    <row r="8" spans="1:27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/>
      <c r="J8" s="25">
        <v>50</v>
      </c>
      <c r="K8" s="25" t="s">
        <v>314</v>
      </c>
      <c r="L8" s="25">
        <v>150</v>
      </c>
      <c r="M8" s="28">
        <v>0.6</v>
      </c>
      <c r="N8" s="25" t="s">
        <v>370</v>
      </c>
      <c r="O8" s="27" t="s">
        <v>33</v>
      </c>
      <c r="P8" s="25">
        <v>0.2</v>
      </c>
      <c r="Q8" s="25" t="s">
        <v>370</v>
      </c>
      <c r="R8" s="31">
        <f t="shared" si="0"/>
        <v>0.33333333333333337</v>
      </c>
    </row>
    <row r="9" spans="1:27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/>
      <c r="J9" s="25">
        <v>50</v>
      </c>
      <c r="K9" s="25" t="s">
        <v>314</v>
      </c>
      <c r="L9" s="25">
        <v>150</v>
      </c>
      <c r="M9" s="28">
        <v>0.6</v>
      </c>
      <c r="N9" s="25" t="s">
        <v>370</v>
      </c>
      <c r="O9" s="27" t="s">
        <v>33</v>
      </c>
      <c r="P9" s="25">
        <v>0.2</v>
      </c>
      <c r="Q9" s="25" t="s">
        <v>370</v>
      </c>
      <c r="R9" s="31">
        <f t="shared" si="0"/>
        <v>0.33333333333333337</v>
      </c>
    </row>
    <row r="10" spans="1:27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4"/>
      <c r="J10" s="11" t="s">
        <v>33</v>
      </c>
      <c r="K10" s="12"/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  <c r="R10" s="4" t="s">
        <v>33</v>
      </c>
    </row>
    <row r="11" spans="1:27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4"/>
      <c r="J11" s="11" t="s">
        <v>33</v>
      </c>
      <c r="K11" s="13"/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  <c r="R11" s="4" t="s">
        <v>33</v>
      </c>
    </row>
    <row r="12" spans="1:27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/>
      <c r="J12" s="4">
        <f>6000*0.05</f>
        <v>300</v>
      </c>
      <c r="K12" s="4" t="s">
        <v>252</v>
      </c>
      <c r="L12" s="2">
        <f>25/0.05</f>
        <v>500</v>
      </c>
      <c r="M12" s="4" t="s">
        <v>33</v>
      </c>
      <c r="N12" s="2"/>
      <c r="O12" s="2"/>
      <c r="P12" s="2"/>
      <c r="Q12" s="2"/>
      <c r="R12" s="2"/>
    </row>
    <row r="13" spans="1:27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/>
      <c r="J13" s="4">
        <v>1500</v>
      </c>
      <c r="K13" s="4" t="s">
        <v>323</v>
      </c>
      <c r="L13" s="2">
        <f>AVERAGE(10,15)</f>
        <v>12.5</v>
      </c>
      <c r="M13" s="4">
        <v>5</v>
      </c>
      <c r="N13" s="4" t="s">
        <v>324</v>
      </c>
      <c r="O13" s="4" t="s">
        <v>325</v>
      </c>
      <c r="P13" s="4" t="s">
        <v>33</v>
      </c>
      <c r="Q13" s="4" t="s">
        <v>33</v>
      </c>
      <c r="R13" s="4" t="s">
        <v>33</v>
      </c>
    </row>
    <row r="14" spans="1:27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/>
      <c r="J14" s="4">
        <v>5000</v>
      </c>
      <c r="K14" s="4" t="s">
        <v>323</v>
      </c>
      <c r="L14" s="4">
        <v>10</v>
      </c>
      <c r="M14" s="4">
        <v>0.04</v>
      </c>
      <c r="N14" s="4" t="s">
        <v>247</v>
      </c>
      <c r="O14" s="2" t="s">
        <v>328</v>
      </c>
      <c r="P14" s="14">
        <f>0.04/26</f>
        <v>1.5384615384615385E-3</v>
      </c>
      <c r="Q14" s="4" t="s">
        <v>33</v>
      </c>
      <c r="R14" s="4" t="s">
        <v>33</v>
      </c>
    </row>
    <row r="15" spans="1:27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4"/>
      <c r="J15" s="2">
        <f>2000*0.05</f>
        <v>100</v>
      </c>
      <c r="K15" s="4" t="s">
        <v>252</v>
      </c>
      <c r="L15" s="2">
        <f>25/0.05</f>
        <v>500</v>
      </c>
      <c r="M15" s="4" t="s">
        <v>33</v>
      </c>
      <c r="N15" s="2"/>
      <c r="O15" s="2"/>
      <c r="P15" s="2"/>
      <c r="Q15" s="2"/>
      <c r="R15" s="2"/>
    </row>
    <row r="16" spans="1:27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/>
      <c r="J16" s="4" t="s">
        <v>33</v>
      </c>
      <c r="K16" s="4" t="s">
        <v>33</v>
      </c>
      <c r="L16" s="4" t="s">
        <v>33</v>
      </c>
      <c r="M16" s="4" t="s">
        <v>33</v>
      </c>
      <c r="N16" s="2"/>
      <c r="O16" s="2"/>
      <c r="P16" s="2"/>
      <c r="Q16" s="2"/>
      <c r="R16" s="2"/>
    </row>
    <row r="17" spans="1:27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/>
      <c r="J17" s="39" t="s">
        <v>329</v>
      </c>
      <c r="K17" s="39" t="s">
        <v>415</v>
      </c>
      <c r="L17" s="37">
        <v>67.900000000000006</v>
      </c>
      <c r="M17" s="37" t="s">
        <v>330</v>
      </c>
      <c r="N17" s="37" t="s">
        <v>332</v>
      </c>
      <c r="O17" s="37" t="s">
        <v>33</v>
      </c>
      <c r="P17" s="37">
        <v>0.25</v>
      </c>
      <c r="Q17" s="37" t="s">
        <v>252</v>
      </c>
      <c r="R17" s="39" t="s">
        <v>33</v>
      </c>
      <c r="S17" s="40"/>
      <c r="T17" s="40"/>
      <c r="U17" s="40"/>
      <c r="V17" s="40"/>
      <c r="W17" s="40"/>
      <c r="X17" s="40"/>
      <c r="Y17" s="40"/>
      <c r="Z17" s="40"/>
      <c r="AA17" s="40"/>
    </row>
    <row r="18" spans="1:27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/>
      <c r="J18" s="39" t="s">
        <v>329</v>
      </c>
      <c r="K18" s="39" t="s">
        <v>415</v>
      </c>
      <c r="L18" s="37">
        <v>72.5</v>
      </c>
      <c r="M18" s="37" t="s">
        <v>416</v>
      </c>
      <c r="N18" s="37" t="s">
        <v>332</v>
      </c>
      <c r="O18" s="37" t="s">
        <v>33</v>
      </c>
      <c r="P18" s="37">
        <v>0.25</v>
      </c>
      <c r="Q18" s="37" t="s">
        <v>252</v>
      </c>
      <c r="R18" s="37" t="s">
        <v>33</v>
      </c>
    </row>
    <row r="19" spans="1:27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/>
      <c r="J19" s="39" t="s">
        <v>334</v>
      </c>
      <c r="K19" s="37" t="s">
        <v>33</v>
      </c>
      <c r="L19" s="37">
        <v>89.9</v>
      </c>
      <c r="M19" s="37" t="s">
        <v>417</v>
      </c>
      <c r="N19" s="37" t="s">
        <v>332</v>
      </c>
      <c r="O19" s="37" t="s">
        <v>33</v>
      </c>
      <c r="P19" s="37" t="s">
        <v>33</v>
      </c>
      <c r="Q19" s="41"/>
      <c r="R19" s="41"/>
    </row>
    <row r="20" spans="1:27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9"/>
      <c r="J20" s="37" t="s">
        <v>335</v>
      </c>
      <c r="K20" s="37" t="s">
        <v>33</v>
      </c>
      <c r="L20" s="37">
        <v>25</v>
      </c>
      <c r="M20" s="37" t="s">
        <v>418</v>
      </c>
      <c r="N20" s="37" t="s">
        <v>332</v>
      </c>
      <c r="O20" s="37" t="s">
        <v>33</v>
      </c>
      <c r="P20" s="37" t="s">
        <v>33</v>
      </c>
      <c r="Q20" s="41"/>
      <c r="R20" s="41"/>
    </row>
    <row r="21" spans="1:27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9"/>
      <c r="J21" s="37" t="s">
        <v>335</v>
      </c>
      <c r="K21" s="37" t="s">
        <v>33</v>
      </c>
      <c r="L21" s="37">
        <v>39.9</v>
      </c>
      <c r="M21" s="37" t="s">
        <v>418</v>
      </c>
      <c r="N21" s="37" t="s">
        <v>332</v>
      </c>
      <c r="O21" s="37" t="s">
        <v>33</v>
      </c>
      <c r="P21" s="37" t="s">
        <v>33</v>
      </c>
      <c r="Q21" s="41"/>
      <c r="R21" s="41"/>
    </row>
    <row r="22" spans="1:27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9"/>
      <c r="J22" s="37" t="s">
        <v>335</v>
      </c>
      <c r="K22" s="37" t="s">
        <v>33</v>
      </c>
      <c r="L22" s="37">
        <v>39.9</v>
      </c>
      <c r="M22" s="37" t="s">
        <v>418</v>
      </c>
      <c r="N22" s="37" t="s">
        <v>332</v>
      </c>
      <c r="O22" s="37" t="s">
        <v>33</v>
      </c>
      <c r="P22" s="37" t="s">
        <v>33</v>
      </c>
      <c r="Q22" s="41"/>
      <c r="R22" s="41"/>
    </row>
    <row r="23" spans="1:27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9"/>
      <c r="J23" s="37" t="s">
        <v>335</v>
      </c>
      <c r="K23" s="37" t="s">
        <v>33</v>
      </c>
      <c r="L23" s="37">
        <v>39.9</v>
      </c>
      <c r="M23" s="37" t="s">
        <v>418</v>
      </c>
      <c r="N23" s="37" t="s">
        <v>332</v>
      </c>
      <c r="O23" s="37" t="s">
        <v>33</v>
      </c>
      <c r="P23" s="37" t="s">
        <v>33</v>
      </c>
      <c r="Q23" s="41"/>
      <c r="R23" s="41"/>
    </row>
    <row r="24" spans="1:27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/>
      <c r="J24" s="4">
        <v>34313.730000000003</v>
      </c>
      <c r="K24" s="4" t="s">
        <v>341</v>
      </c>
      <c r="L24" s="4">
        <v>1040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4" t="s">
        <v>33</v>
      </c>
      <c r="S24" s="7"/>
    </row>
    <row r="25" spans="1:27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/>
      <c r="J25" s="4">
        <v>308823</v>
      </c>
      <c r="K25" s="4" t="s">
        <v>341</v>
      </c>
      <c r="L25" s="4">
        <v>1083</v>
      </c>
      <c r="M25" s="4" t="s">
        <v>33</v>
      </c>
      <c r="N25" s="4" t="s">
        <v>33</v>
      </c>
      <c r="O25" s="4" t="s">
        <v>33</v>
      </c>
      <c r="P25" s="4"/>
      <c r="Q25" s="4"/>
      <c r="R25" s="4"/>
      <c r="S25" s="7"/>
    </row>
    <row r="26" spans="1:27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4"/>
      <c r="J26" s="2">
        <f>3400*60</f>
        <v>204000</v>
      </c>
      <c r="K26" s="4" t="s">
        <v>247</v>
      </c>
      <c r="L26" s="2">
        <f>330/60</f>
        <v>5.5</v>
      </c>
      <c r="M26" s="4" t="s">
        <v>33</v>
      </c>
      <c r="N26" s="2"/>
      <c r="O26" s="2"/>
      <c r="P26" s="2"/>
      <c r="Q26" s="2"/>
      <c r="R26" s="2"/>
    </row>
    <row r="27" spans="1:27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/>
      <c r="J27" s="4">
        <v>2560</v>
      </c>
      <c r="K27" s="4" t="s">
        <v>247</v>
      </c>
      <c r="L27" s="2">
        <f>AVERAGE(110,200,125)</f>
        <v>145</v>
      </c>
      <c r="M27" s="4" t="s">
        <v>33</v>
      </c>
      <c r="N27" s="2"/>
      <c r="O27" s="2"/>
      <c r="P27" s="2"/>
      <c r="Q27" s="2"/>
      <c r="R27" s="2"/>
    </row>
    <row r="28" spans="1:27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4"/>
      <c r="J28" s="2">
        <f>3900/1000</f>
        <v>3.9</v>
      </c>
      <c r="K28" s="4" t="s">
        <v>252</v>
      </c>
      <c r="L28" s="4">
        <f>AVERAGE(333.33,416.67)</f>
        <v>375</v>
      </c>
      <c r="M28" s="4" t="s">
        <v>33</v>
      </c>
      <c r="N28" s="2"/>
      <c r="O28" s="2"/>
      <c r="P28" s="2"/>
      <c r="Q28" s="2"/>
      <c r="R28" s="2"/>
    </row>
    <row r="29" spans="1:27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/>
      <c r="J29" s="4">
        <v>6</v>
      </c>
      <c r="K29" s="4" t="s">
        <v>247</v>
      </c>
      <c r="L29" s="4">
        <v>98</v>
      </c>
      <c r="M29" s="4" t="s">
        <v>33</v>
      </c>
      <c r="N29" s="2"/>
      <c r="O29" s="2"/>
      <c r="P29" s="2"/>
      <c r="Q29" s="2"/>
      <c r="R29" s="2"/>
    </row>
    <row r="30" spans="1:27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/>
      <c r="J30" s="4">
        <v>1250</v>
      </c>
      <c r="K30" s="4" t="s">
        <v>247</v>
      </c>
      <c r="L30" s="4">
        <v>92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  <c r="R30" s="4" t="s">
        <v>33</v>
      </c>
    </row>
    <row r="31" spans="1:27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/>
      <c r="J31" s="4">
        <v>30</v>
      </c>
      <c r="K31" s="4" t="s">
        <v>247</v>
      </c>
      <c r="L31" s="4">
        <v>320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  <c r="R31" s="4" t="s">
        <v>33</v>
      </c>
    </row>
    <row r="32" spans="1:27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/>
      <c r="J32" s="37">
        <v>72</v>
      </c>
      <c r="K32" s="37" t="s">
        <v>247</v>
      </c>
      <c r="L32" s="37">
        <v>90</v>
      </c>
      <c r="M32" s="39" t="s">
        <v>430</v>
      </c>
      <c r="N32" s="37" t="s">
        <v>431</v>
      </c>
      <c r="O32" s="37">
        <v>6</v>
      </c>
      <c r="P32" s="37" t="s">
        <v>247</v>
      </c>
      <c r="Q32" s="25" t="s">
        <v>247</v>
      </c>
      <c r="R32" s="31" t="s">
        <v>33</v>
      </c>
    </row>
    <row r="33" spans="1:19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/>
      <c r="J33" s="37">
        <v>6</v>
      </c>
      <c r="K33" s="37" t="s">
        <v>247</v>
      </c>
      <c r="L33" s="37">
        <v>90</v>
      </c>
      <c r="M33" s="37" t="s">
        <v>33</v>
      </c>
      <c r="N33" s="37" t="s">
        <v>33</v>
      </c>
      <c r="O33" s="41"/>
      <c r="P33" s="37" t="s">
        <v>33</v>
      </c>
      <c r="Q33" s="25" t="s">
        <v>33</v>
      </c>
      <c r="R33" s="25" t="s">
        <v>33</v>
      </c>
    </row>
    <row r="34" spans="1:19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/>
      <c r="J34" s="25">
        <v>60</v>
      </c>
      <c r="K34" s="33" t="s">
        <v>247</v>
      </c>
      <c r="L34" s="25">
        <v>68.900000000000006</v>
      </c>
      <c r="M34" s="25" t="s">
        <v>33</v>
      </c>
      <c r="N34" s="33" t="s">
        <v>33</v>
      </c>
      <c r="O34" s="34" t="s">
        <v>33</v>
      </c>
      <c r="P34" s="33" t="s">
        <v>33</v>
      </c>
      <c r="Q34" s="33" t="s">
        <v>33</v>
      </c>
      <c r="R34" s="33" t="s">
        <v>33</v>
      </c>
    </row>
    <row r="35" spans="1:19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/>
      <c r="J35" s="25">
        <v>100</v>
      </c>
      <c r="K35" s="33" t="s">
        <v>247</v>
      </c>
      <c r="L35" s="25">
        <v>120</v>
      </c>
      <c r="M35" s="25" t="s">
        <v>33</v>
      </c>
      <c r="N35" s="33" t="s">
        <v>33</v>
      </c>
      <c r="O35" s="34" t="s">
        <v>33</v>
      </c>
      <c r="P35" s="33" t="s">
        <v>33</v>
      </c>
      <c r="Q35" s="33" t="s">
        <v>33</v>
      </c>
      <c r="R35" s="33" t="s">
        <v>33</v>
      </c>
    </row>
    <row r="36" spans="1:19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/>
      <c r="J36" s="25">
        <v>20</v>
      </c>
      <c r="K36" s="33" t="s">
        <v>247</v>
      </c>
      <c r="L36" s="25">
        <v>45</v>
      </c>
      <c r="M36" s="25" t="s">
        <v>33</v>
      </c>
      <c r="N36" s="33" t="s">
        <v>33</v>
      </c>
      <c r="O36" s="34" t="s">
        <v>33</v>
      </c>
      <c r="P36" s="33" t="s">
        <v>33</v>
      </c>
      <c r="Q36" s="33" t="s">
        <v>33</v>
      </c>
      <c r="R36" s="33" t="s">
        <v>33</v>
      </c>
    </row>
    <row r="37" spans="1:19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/>
      <c r="J37" s="25">
        <v>25</v>
      </c>
      <c r="K37" s="33" t="s">
        <v>247</v>
      </c>
      <c r="L37" s="25">
        <v>68</v>
      </c>
      <c r="M37" s="25" t="s">
        <v>33</v>
      </c>
      <c r="N37" s="33" t="s">
        <v>33</v>
      </c>
      <c r="O37" s="34" t="s">
        <v>33</v>
      </c>
      <c r="P37" s="33" t="s">
        <v>33</v>
      </c>
      <c r="Q37" s="33" t="s">
        <v>33</v>
      </c>
      <c r="R37" s="33" t="s">
        <v>33</v>
      </c>
    </row>
    <row r="38" spans="1:19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/>
      <c r="J38" s="25">
        <v>185</v>
      </c>
      <c r="K38" s="33" t="s">
        <v>247</v>
      </c>
      <c r="L38" s="25">
        <v>48.9</v>
      </c>
      <c r="M38" s="25" t="s">
        <v>33</v>
      </c>
      <c r="N38" s="33" t="s">
        <v>33</v>
      </c>
      <c r="O38" s="34" t="s">
        <v>33</v>
      </c>
      <c r="P38" s="33" t="s">
        <v>33</v>
      </c>
      <c r="Q38" s="33" t="s">
        <v>33</v>
      </c>
      <c r="R38" s="33" t="s">
        <v>33</v>
      </c>
    </row>
    <row r="39" spans="1:19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/>
      <c r="J39" s="25">
        <v>20</v>
      </c>
      <c r="K39" s="33" t="s">
        <v>247</v>
      </c>
      <c r="L39" s="25" t="s">
        <v>33</v>
      </c>
      <c r="M39" s="25" t="s">
        <v>33</v>
      </c>
      <c r="N39" s="33" t="s">
        <v>33</v>
      </c>
      <c r="O39" s="34" t="s">
        <v>33</v>
      </c>
      <c r="P39" s="33" t="s">
        <v>33</v>
      </c>
      <c r="Q39" s="33" t="s">
        <v>33</v>
      </c>
      <c r="R39" s="33" t="s">
        <v>33</v>
      </c>
    </row>
    <row r="40" spans="1:19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</row>
    <row r="41" spans="1:19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34"/>
      <c r="J41" s="47">
        <v>1300</v>
      </c>
      <c r="K41" s="34" t="s">
        <v>341</v>
      </c>
      <c r="L41" s="47">
        <v>44</v>
      </c>
      <c r="M41" s="47">
        <v>20</v>
      </c>
      <c r="N41" s="34" t="s">
        <v>341</v>
      </c>
      <c r="O41" s="47"/>
      <c r="P41" s="47"/>
      <c r="Q41" s="47"/>
      <c r="R41" s="47"/>
    </row>
    <row r="42" spans="1:19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9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49"/>
      <c r="J43" s="2">
        <v>200</v>
      </c>
      <c r="K43" s="49" t="s">
        <v>481</v>
      </c>
      <c r="L43" s="2"/>
      <c r="M43" s="2"/>
      <c r="N43" s="2"/>
      <c r="O43" s="2"/>
      <c r="P43" s="2"/>
      <c r="Q43" s="2"/>
      <c r="R43" s="2"/>
    </row>
    <row r="44" spans="1:19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49"/>
      <c r="J44" s="2">
        <v>15</v>
      </c>
      <c r="K44" s="49" t="s">
        <v>341</v>
      </c>
      <c r="L44" s="2"/>
      <c r="M44" s="2"/>
      <c r="N44" s="2"/>
      <c r="O44" s="2"/>
      <c r="P44" s="2"/>
      <c r="Q44" s="2"/>
      <c r="R44" s="2"/>
    </row>
    <row r="45" spans="1:19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49"/>
      <c r="J45" s="2"/>
      <c r="K45" s="2"/>
      <c r="L45" s="2"/>
      <c r="M45" s="2"/>
      <c r="N45" s="2"/>
      <c r="O45" s="2"/>
      <c r="P45" s="2"/>
      <c r="Q45" s="2"/>
      <c r="R45" s="2"/>
    </row>
    <row r="46" spans="1:19" ht="31.2" customHeight="1" x14ac:dyDescent="0.3">
      <c r="A46" s="47">
        <v>210</v>
      </c>
      <c r="B46" s="49" t="s">
        <v>168</v>
      </c>
      <c r="C46" s="49" t="s">
        <v>476</v>
      </c>
      <c r="D46" s="58" t="s">
        <v>477</v>
      </c>
      <c r="E46" s="2"/>
      <c r="F46" s="49" t="s">
        <v>485</v>
      </c>
      <c r="G46" s="49" t="s">
        <v>479</v>
      </c>
      <c r="H46" s="49" t="s">
        <v>480</v>
      </c>
      <c r="I46" s="49"/>
      <c r="J46" s="2"/>
      <c r="K46" s="2"/>
      <c r="L46" s="2"/>
      <c r="M46" s="2"/>
      <c r="N46" s="2"/>
      <c r="O46" s="2"/>
      <c r="P46" s="2"/>
      <c r="Q46" s="2"/>
      <c r="R46" s="2"/>
    </row>
    <row r="47" spans="1:19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/>
      <c r="J47" s="37">
        <f>6500*9</f>
        <v>58500</v>
      </c>
      <c r="K47" s="37" t="s">
        <v>247</v>
      </c>
      <c r="L47" s="43">
        <f t="shared" ref="L47:L48" si="1">400/60</f>
        <v>6.666666666666667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7" t="s">
        <v>33</v>
      </c>
      <c r="S47" s="38"/>
    </row>
    <row r="48" spans="1:19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/>
      <c r="J48" s="37">
        <f>65000*0.1</f>
        <v>6500</v>
      </c>
      <c r="K48" s="37" t="s">
        <v>247</v>
      </c>
      <c r="L48" s="43">
        <f t="shared" si="1"/>
        <v>6.666666666666667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7" t="s">
        <v>33</v>
      </c>
      <c r="S48" s="38"/>
    </row>
    <row r="49" spans="1:18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4"/>
      <c r="J49" s="59">
        <f>250/12</f>
        <v>20.833333333333332</v>
      </c>
      <c r="K49" s="4" t="s">
        <v>247</v>
      </c>
      <c r="L49" s="4">
        <v>50</v>
      </c>
      <c r="M49" s="4" t="s">
        <v>533</v>
      </c>
      <c r="N49" s="4" t="s">
        <v>247</v>
      </c>
      <c r="O49" s="4" t="s">
        <v>33</v>
      </c>
      <c r="P49" s="4" t="s">
        <v>33</v>
      </c>
      <c r="Q49" s="4" t="s">
        <v>33</v>
      </c>
      <c r="R49" s="4" t="s">
        <v>33</v>
      </c>
    </row>
    <row r="50" spans="1:18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4"/>
      <c r="J50" s="59">
        <f>2500/12</f>
        <v>208.33333333333334</v>
      </c>
      <c r="K50" s="4" t="s">
        <v>252</v>
      </c>
      <c r="L50" s="4">
        <f>85/2</f>
        <v>42.5</v>
      </c>
      <c r="M50" s="4" t="s">
        <v>538</v>
      </c>
      <c r="N50" s="4" t="s">
        <v>252</v>
      </c>
      <c r="O50" s="4" t="s">
        <v>33</v>
      </c>
      <c r="P50" s="4" t="s">
        <v>33</v>
      </c>
      <c r="Q50" s="4" t="s">
        <v>33</v>
      </c>
      <c r="R50" s="4" t="s">
        <v>33</v>
      </c>
    </row>
    <row r="51" spans="1:18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4"/>
      <c r="J51" s="59">
        <f>100/12</f>
        <v>8.3333333333333339</v>
      </c>
      <c r="K51" s="4" t="s">
        <v>252</v>
      </c>
      <c r="L51" s="4">
        <f>170/2</f>
        <v>85</v>
      </c>
      <c r="M51" s="4" t="s">
        <v>539</v>
      </c>
      <c r="N51" s="4" t="s">
        <v>252</v>
      </c>
      <c r="O51" s="4" t="s">
        <v>33</v>
      </c>
      <c r="P51" s="4" t="s">
        <v>33</v>
      </c>
      <c r="Q51" s="4" t="s">
        <v>33</v>
      </c>
      <c r="R51" s="4" t="s">
        <v>33</v>
      </c>
    </row>
    <row r="52" spans="1:18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4"/>
      <c r="J52" s="59">
        <f>10/12</f>
        <v>0.83333333333333337</v>
      </c>
      <c r="K52" s="4" t="s">
        <v>252</v>
      </c>
      <c r="L52" s="4">
        <v>600</v>
      </c>
      <c r="M52" s="4" t="s">
        <v>540</v>
      </c>
      <c r="N52" s="4" t="s">
        <v>252</v>
      </c>
      <c r="O52" s="4" t="s">
        <v>33</v>
      </c>
      <c r="P52" s="4" t="s">
        <v>33</v>
      </c>
      <c r="Q52" s="4" t="s">
        <v>33</v>
      </c>
      <c r="R52" s="6" t="s">
        <v>543</v>
      </c>
    </row>
    <row r="53" spans="1:18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4"/>
      <c r="J53" s="59">
        <f>426/12</f>
        <v>35.5</v>
      </c>
      <c r="K53" s="4" t="s">
        <v>247</v>
      </c>
      <c r="L53" s="4">
        <v>120</v>
      </c>
      <c r="M53" s="4" t="s">
        <v>33</v>
      </c>
      <c r="N53" s="4" t="s">
        <v>247</v>
      </c>
      <c r="O53" s="4" t="s">
        <v>33</v>
      </c>
      <c r="P53" s="4" t="s">
        <v>33</v>
      </c>
      <c r="Q53" s="4" t="s">
        <v>33</v>
      </c>
      <c r="R53" s="4" t="s">
        <v>33</v>
      </c>
    </row>
    <row r="54" spans="1:18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55" t="s">
        <v>33</v>
      </c>
      <c r="G54" s="4" t="s">
        <v>33</v>
      </c>
      <c r="H54" s="4" t="s">
        <v>33</v>
      </c>
      <c r="I54" s="4"/>
      <c r="J54" s="59">
        <f>100/12</f>
        <v>8.3333333333333339</v>
      </c>
      <c r="K54" s="4" t="s">
        <v>252</v>
      </c>
      <c r="L54" s="4">
        <v>70</v>
      </c>
      <c r="M54" s="4" t="s">
        <v>33</v>
      </c>
      <c r="N54" s="4" t="s">
        <v>252</v>
      </c>
      <c r="O54" s="4" t="s">
        <v>33</v>
      </c>
      <c r="P54" s="4" t="s">
        <v>33</v>
      </c>
      <c r="Q54" s="4" t="s">
        <v>33</v>
      </c>
      <c r="R54" s="4" t="s">
        <v>33</v>
      </c>
    </row>
    <row r="55" spans="1:18" s="51" customFormat="1" ht="54" customHeight="1" x14ac:dyDescent="0.25">
      <c r="A55" s="4">
        <v>213</v>
      </c>
      <c r="B55" s="4" t="s">
        <v>613</v>
      </c>
      <c r="C55" s="4" t="s">
        <v>310</v>
      </c>
      <c r="D55" s="4" t="s">
        <v>301</v>
      </c>
      <c r="E55" s="63" t="s">
        <v>33</v>
      </c>
      <c r="F55" s="57" t="s">
        <v>33</v>
      </c>
      <c r="G55" s="64" t="s">
        <v>618</v>
      </c>
      <c r="H55" s="4" t="s">
        <v>33</v>
      </c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s="51" customFormat="1" ht="53.4" customHeight="1" x14ac:dyDescent="0.25">
      <c r="A56" s="4">
        <v>213</v>
      </c>
      <c r="B56" s="4" t="s">
        <v>614</v>
      </c>
      <c r="C56" s="4" t="s">
        <v>310</v>
      </c>
      <c r="D56" s="4" t="s">
        <v>301</v>
      </c>
      <c r="E56" s="63" t="s">
        <v>33</v>
      </c>
      <c r="F56" s="57" t="s">
        <v>33</v>
      </c>
      <c r="G56" s="64" t="s">
        <v>618</v>
      </c>
      <c r="H56" s="4" t="s">
        <v>33</v>
      </c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s="51" customFormat="1" ht="54" customHeight="1" x14ac:dyDescent="0.25">
      <c r="A57" s="4">
        <v>213</v>
      </c>
      <c r="B57" s="4" t="s">
        <v>615</v>
      </c>
      <c r="C57" s="4" t="s">
        <v>310</v>
      </c>
      <c r="D57" s="4" t="s">
        <v>301</v>
      </c>
      <c r="E57" s="63" t="s">
        <v>33</v>
      </c>
      <c r="F57" s="57" t="s">
        <v>33</v>
      </c>
      <c r="G57" s="64" t="s">
        <v>618</v>
      </c>
      <c r="H57" s="4" t="s">
        <v>33</v>
      </c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s="51" customFormat="1" ht="55.8" customHeight="1" x14ac:dyDescent="0.25">
      <c r="A58" s="4">
        <v>213</v>
      </c>
      <c r="B58" s="4" t="s">
        <v>338</v>
      </c>
      <c r="C58" s="4" t="s">
        <v>310</v>
      </c>
      <c r="D58" s="4" t="s">
        <v>301</v>
      </c>
      <c r="E58" s="63" t="s">
        <v>33</v>
      </c>
      <c r="F58" s="57" t="s">
        <v>33</v>
      </c>
      <c r="G58" s="64" t="s">
        <v>618</v>
      </c>
      <c r="H58" s="4" t="s">
        <v>33</v>
      </c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s="51" customFormat="1" ht="54.6" customHeight="1" x14ac:dyDescent="0.25">
      <c r="A59" s="4">
        <v>213</v>
      </c>
      <c r="B59" s="4" t="s">
        <v>616</v>
      </c>
      <c r="C59" s="4" t="s">
        <v>310</v>
      </c>
      <c r="D59" s="4" t="s">
        <v>301</v>
      </c>
      <c r="E59" s="63" t="s">
        <v>33</v>
      </c>
      <c r="F59" s="57" t="s">
        <v>33</v>
      </c>
      <c r="G59" s="64" t="s">
        <v>618</v>
      </c>
      <c r="H59" s="4" t="s">
        <v>33</v>
      </c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s="51" customFormat="1" ht="55.2" customHeight="1" x14ac:dyDescent="0.25">
      <c r="A60" s="4">
        <v>213</v>
      </c>
      <c r="B60" s="4" t="s">
        <v>617</v>
      </c>
      <c r="C60" s="4" t="s">
        <v>310</v>
      </c>
      <c r="D60" s="4" t="s">
        <v>301</v>
      </c>
      <c r="E60" s="63" t="s">
        <v>33</v>
      </c>
      <c r="F60" s="57" t="s">
        <v>33</v>
      </c>
      <c r="G60" s="64" t="s">
        <v>618</v>
      </c>
      <c r="H60" s="4" t="s">
        <v>33</v>
      </c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s="51" customFormat="1" ht="14.25" customHeight="1" x14ac:dyDescent="0.25">
      <c r="A61" s="62">
        <v>213</v>
      </c>
      <c r="B61" s="62" t="s">
        <v>278</v>
      </c>
      <c r="C61" s="4" t="s">
        <v>347</v>
      </c>
      <c r="D61" s="4" t="s">
        <v>301</v>
      </c>
      <c r="E61" s="63" t="s">
        <v>33</v>
      </c>
      <c r="F61" s="57" t="s">
        <v>33</v>
      </c>
      <c r="G61" s="54" t="s">
        <v>619</v>
      </c>
      <c r="H61" s="4" t="s">
        <v>33</v>
      </c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s="51" customFormat="1" ht="28.2" customHeight="1" x14ac:dyDescent="0.25">
      <c r="A62" s="4">
        <v>214</v>
      </c>
      <c r="B62" s="4" t="s">
        <v>597</v>
      </c>
      <c r="C62" s="4" t="s">
        <v>357</v>
      </c>
      <c r="D62" s="4" t="s">
        <v>301</v>
      </c>
      <c r="E62" s="4" t="s">
        <v>603</v>
      </c>
      <c r="F62" s="65" t="s">
        <v>604</v>
      </c>
      <c r="G62" s="4" t="s">
        <v>33</v>
      </c>
      <c r="H62" s="4" t="s">
        <v>33</v>
      </c>
      <c r="I62" s="4"/>
      <c r="J62" s="4">
        <v>1</v>
      </c>
      <c r="K62" s="4" t="s">
        <v>247</v>
      </c>
      <c r="L62" s="4">
        <f>200/2</f>
        <v>100</v>
      </c>
      <c r="M62" s="6" t="s">
        <v>608</v>
      </c>
      <c r="N62" s="6" t="s">
        <v>609</v>
      </c>
      <c r="O62" s="4" t="s">
        <v>33</v>
      </c>
      <c r="P62" s="4" t="s">
        <v>33</v>
      </c>
      <c r="Q62" s="4" t="s">
        <v>33</v>
      </c>
      <c r="R62" s="4" t="s">
        <v>33</v>
      </c>
    </row>
    <row r="63" spans="1:18" s="51" customFormat="1" ht="34.799999999999997" customHeight="1" x14ac:dyDescent="0.25">
      <c r="A63" s="4">
        <v>214</v>
      </c>
      <c r="B63" s="4" t="s">
        <v>598</v>
      </c>
      <c r="C63" s="4" t="s">
        <v>357</v>
      </c>
      <c r="D63" s="4" t="s">
        <v>301</v>
      </c>
      <c r="E63" s="4" t="s">
        <v>603</v>
      </c>
      <c r="F63" s="6" t="s">
        <v>605</v>
      </c>
      <c r="G63" s="4" t="s">
        <v>33</v>
      </c>
      <c r="H63" s="4" t="s">
        <v>33</v>
      </c>
      <c r="I63" s="4"/>
      <c r="J63" s="4">
        <v>1</v>
      </c>
      <c r="K63" s="4" t="s">
        <v>247</v>
      </c>
      <c r="L63" s="4">
        <f t="shared" ref="L63:L64" si="2">200/2</f>
        <v>100</v>
      </c>
      <c r="M63" s="6" t="s">
        <v>610</v>
      </c>
      <c r="N63" s="6" t="s">
        <v>609</v>
      </c>
      <c r="O63" s="4" t="s">
        <v>33</v>
      </c>
      <c r="P63" s="4" t="s">
        <v>33</v>
      </c>
      <c r="Q63" s="4" t="s">
        <v>33</v>
      </c>
      <c r="R63" s="4" t="s">
        <v>33</v>
      </c>
    </row>
    <row r="64" spans="1:18" s="51" customFormat="1" ht="44.4" customHeight="1" x14ac:dyDescent="0.25">
      <c r="A64" s="4">
        <v>214</v>
      </c>
      <c r="B64" s="4" t="s">
        <v>599</v>
      </c>
      <c r="C64" s="4" t="s">
        <v>357</v>
      </c>
      <c r="D64" s="4" t="s">
        <v>301</v>
      </c>
      <c r="E64" s="4" t="s">
        <v>603</v>
      </c>
      <c r="F64" s="6" t="s">
        <v>606</v>
      </c>
      <c r="G64" s="4" t="s">
        <v>33</v>
      </c>
      <c r="H64" s="4" t="s">
        <v>33</v>
      </c>
      <c r="I64" s="4"/>
      <c r="J64" s="4">
        <v>1</v>
      </c>
      <c r="K64" s="4" t="s">
        <v>247</v>
      </c>
      <c r="L64" s="4">
        <f t="shared" si="2"/>
        <v>100</v>
      </c>
      <c r="M64" s="6" t="s">
        <v>611</v>
      </c>
      <c r="N64" s="6" t="s">
        <v>609</v>
      </c>
      <c r="O64" s="4" t="s">
        <v>33</v>
      </c>
      <c r="P64" s="4" t="s">
        <v>33</v>
      </c>
      <c r="Q64" s="4" t="s">
        <v>33</v>
      </c>
      <c r="R64" s="4" t="s">
        <v>33</v>
      </c>
    </row>
    <row r="65" spans="1:18" s="51" customFormat="1" ht="14.25" customHeight="1" x14ac:dyDescent="0.25">
      <c r="A65" s="4">
        <v>214</v>
      </c>
      <c r="B65" s="4" t="s">
        <v>600</v>
      </c>
      <c r="C65" s="4" t="s">
        <v>602</v>
      </c>
      <c r="D65" s="4" t="s">
        <v>301</v>
      </c>
      <c r="E65" s="4" t="s">
        <v>603</v>
      </c>
      <c r="F65" s="4" t="s">
        <v>607</v>
      </c>
      <c r="G65" s="4" t="s">
        <v>33</v>
      </c>
      <c r="H65" s="4" t="s">
        <v>33</v>
      </c>
      <c r="I65" s="4"/>
      <c r="J65" s="4" t="s">
        <v>33</v>
      </c>
      <c r="K65" s="4" t="s">
        <v>363</v>
      </c>
      <c r="L65" s="4">
        <v>3</v>
      </c>
      <c r="M65" s="4" t="s">
        <v>612</v>
      </c>
      <c r="N65" s="4" t="s">
        <v>33</v>
      </c>
      <c r="O65" s="4" t="s">
        <v>33</v>
      </c>
      <c r="P65" s="4" t="s">
        <v>33</v>
      </c>
      <c r="Q65" s="4" t="s">
        <v>33</v>
      </c>
      <c r="R65" s="4" t="s">
        <v>33</v>
      </c>
    </row>
    <row r="66" spans="1:18" s="51" customFormat="1" ht="30" customHeight="1" x14ac:dyDescent="0.25">
      <c r="A66" s="4">
        <v>214</v>
      </c>
      <c r="B66" s="6" t="s">
        <v>601</v>
      </c>
      <c r="C66" s="4" t="s">
        <v>347</v>
      </c>
      <c r="D66" s="4" t="s">
        <v>301</v>
      </c>
      <c r="E66" s="4" t="s">
        <v>603</v>
      </c>
      <c r="F66" s="4" t="s">
        <v>33</v>
      </c>
      <c r="G66" s="4" t="s">
        <v>33</v>
      </c>
      <c r="H66" s="4" t="s">
        <v>33</v>
      </c>
      <c r="I66" s="4"/>
      <c r="J66" s="4" t="s">
        <v>33</v>
      </c>
      <c r="K66" s="4" t="s">
        <v>33</v>
      </c>
      <c r="L66" s="4" t="s">
        <v>33</v>
      </c>
      <c r="M66" s="4" t="s">
        <v>33</v>
      </c>
      <c r="N66" s="4" t="s">
        <v>33</v>
      </c>
      <c r="O66" s="4" t="s">
        <v>33</v>
      </c>
      <c r="P66" s="4" t="s">
        <v>33</v>
      </c>
      <c r="Q66" s="4" t="s">
        <v>33</v>
      </c>
      <c r="R66" s="4" t="s">
        <v>33</v>
      </c>
    </row>
    <row r="67" spans="1:18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</row>
    <row r="68" spans="1:18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</row>
    <row r="69" spans="1:18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</row>
    <row r="71" spans="1:18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</row>
    <row r="72" spans="1:18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</row>
    <row r="74" spans="1:18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</row>
    <row r="75" spans="1:18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</row>
    <row r="77" spans="1:18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</row>
    <row r="78" spans="1:18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</row>
    <row r="80" spans="1:18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</row>
    <row r="81" spans="1:18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</row>
    <row r="83" spans="1:18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</row>
    <row r="84" spans="1:18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</row>
    <row r="86" spans="1:18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</row>
    <row r="87" spans="1:18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</row>
    <row r="89" spans="1:18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</row>
    <row r="90" spans="1:18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</row>
    <row r="92" spans="1:18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</row>
    <row r="93" spans="1:18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</row>
    <row r="94" spans="1:18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</row>
    <row r="95" spans="1:18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</row>
    <row r="96" spans="1:18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</row>
    <row r="98" spans="1:18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</row>
    <row r="99" spans="1:18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</row>
    <row r="100" spans="1:18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</row>
    <row r="101" spans="1:18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</row>
    <row r="102" spans="1:18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</row>
    <row r="103" spans="1:18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</row>
    <row r="104" spans="1:18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</row>
    <row r="105" spans="1:18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</row>
    <row r="106" spans="1:18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</row>
    <row r="107" spans="1:18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</row>
    <row r="108" spans="1:18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</row>
    <row r="109" spans="1:18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</row>
    <row r="110" spans="1:18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</row>
    <row r="111" spans="1:18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</row>
    <row r="112" spans="1:18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</row>
    <row r="113" spans="1:18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</row>
    <row r="114" spans="1:18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</row>
    <row r="115" spans="1:18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</row>
    <row r="116" spans="1:18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</row>
    <row r="117" spans="1:18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</row>
    <row r="118" spans="1:18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</row>
    <row r="119" spans="1:18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</row>
    <row r="120" spans="1:18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</row>
    <row r="121" spans="1:18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</row>
    <row r="122" spans="1:18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</row>
    <row r="123" spans="1:18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</row>
    <row r="124" spans="1:18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</row>
    <row r="125" spans="1:18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</row>
    <row r="126" spans="1:18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</row>
    <row r="127" spans="1:18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</row>
    <row r="129" spans="1:18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</row>
    <row r="130" spans="1:18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</row>
    <row r="131" spans="1:18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</row>
    <row r="132" spans="1:18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</row>
    <row r="133" spans="1:18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</row>
    <row r="134" spans="1:18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</row>
    <row r="135" spans="1:18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</row>
    <row r="136" spans="1:18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</row>
    <row r="137" spans="1:18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</row>
    <row r="138" spans="1:18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</row>
    <row r="139" spans="1:18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</row>
    <row r="140" spans="1:18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</row>
    <row r="141" spans="1:18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</row>
    <row r="142" spans="1:18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</row>
    <row r="143" spans="1:18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</row>
    <row r="144" spans="1:18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</row>
    <row r="145" spans="1:18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</row>
    <row r="146" spans="1:18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</row>
    <row r="147" spans="1:18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</row>
    <row r="148" spans="1:18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</row>
    <row r="149" spans="1:18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</row>
    <row r="150" spans="1:18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</row>
    <row r="151" spans="1:18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</row>
    <row r="152" spans="1:18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</row>
    <row r="153" spans="1:18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</row>
    <row r="154" spans="1:18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</row>
    <row r="155" spans="1:18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</row>
    <row r="156" spans="1:18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</row>
    <row r="157" spans="1:18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</row>
    <row r="158" spans="1:18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</row>
    <row r="159" spans="1:18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</row>
    <row r="160" spans="1:18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</row>
    <row r="161" spans="1:18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</row>
    <row r="162" spans="1:18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</row>
    <row r="163" spans="1:18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</row>
    <row r="164" spans="1:18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</row>
    <row r="165" spans="1:18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</row>
    <row r="166" spans="1:18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</row>
    <row r="167" spans="1:18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</row>
    <row r="168" spans="1:18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</row>
    <row r="169" spans="1:18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</row>
    <row r="170" spans="1:18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</row>
    <row r="171" spans="1:18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</row>
    <row r="172" spans="1:18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</row>
    <row r="173" spans="1:18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</row>
    <row r="174" spans="1:18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</row>
    <row r="175" spans="1:18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</row>
    <row r="176" spans="1:18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</row>
    <row r="177" spans="1:18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</row>
    <row r="178" spans="1:18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</row>
    <row r="179" spans="1:18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</row>
    <row r="180" spans="1:18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</row>
    <row r="181" spans="1:18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</row>
    <row r="182" spans="1:18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</row>
    <row r="183" spans="1:18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</row>
    <row r="184" spans="1:18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</row>
    <row r="186" spans="1:18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</row>
    <row r="187" spans="1:18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</row>
    <row r="188" spans="1:18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</row>
    <row r="189" spans="1:18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</row>
    <row r="190" spans="1:18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</row>
    <row r="191" spans="1:18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</row>
    <row r="192" spans="1:18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</row>
    <row r="193" spans="1:18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</row>
    <row r="194" spans="1:18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</row>
    <row r="195" spans="1:18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</row>
    <row r="196" spans="1:18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</row>
    <row r="197" spans="1:18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</row>
    <row r="198" spans="1:18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</row>
    <row r="199" spans="1:18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</row>
    <row r="200" spans="1:18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</row>
    <row r="201" spans="1:18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</row>
    <row r="202" spans="1:18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</row>
    <row r="203" spans="1:18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</row>
    <row r="204" spans="1:18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</row>
    <row r="206" spans="1:18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</row>
    <row r="207" spans="1:18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</row>
    <row r="208" spans="1:18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</row>
    <row r="209" spans="1:18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</row>
    <row r="210" spans="1:18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</row>
    <row r="211" spans="1:18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</row>
    <row r="212" spans="1:18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</row>
    <row r="213" spans="1:18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</row>
    <row r="214" spans="1:18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</row>
    <row r="215" spans="1:18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</row>
    <row r="216" spans="1:18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</row>
    <row r="217" spans="1:18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</row>
    <row r="218" spans="1:18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</row>
    <row r="219" spans="1:18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</row>
    <row r="220" spans="1:18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</row>
    <row r="222" spans="1:18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</row>
    <row r="223" spans="1:18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</row>
    <row r="224" spans="1:18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</row>
    <row r="225" spans="1:18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</row>
    <row r="226" spans="1:18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</row>
    <row r="227" spans="1:18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</row>
    <row r="228" spans="1:18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</row>
    <row r="229" spans="1:18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</row>
    <row r="230" spans="1:18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</row>
    <row r="231" spans="1:18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</row>
    <row r="232" spans="1:18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</row>
    <row r="233" spans="1:18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</row>
    <row r="234" spans="1:18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</row>
    <row r="235" spans="1:18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</row>
    <row r="236" spans="1:18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</row>
    <row r="237" spans="1:18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</row>
    <row r="238" spans="1:18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</row>
    <row r="239" spans="1:18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</row>
    <row r="240" spans="1:18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</row>
    <row r="241" spans="1:18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</row>
    <row r="242" spans="1:18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</row>
    <row r="243" spans="1:18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</row>
    <row r="244" spans="1:18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</row>
    <row r="245" spans="1:18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</row>
    <row r="246" spans="1:18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</row>
    <row r="247" spans="1:18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spans="1:18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spans="1:18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</row>
    <row r="250" spans="1:18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</row>
    <row r="252" spans="1:18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</row>
    <row r="253" spans="1:18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</row>
    <row r="254" spans="1:18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</row>
    <row r="255" spans="1:18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</row>
    <row r="256" spans="1:18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spans="1:18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spans="1:18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spans="1:18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spans="1:18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spans="1:18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spans="1:18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spans="1:18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spans="1:18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spans="1:18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spans="1:18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spans="1:18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spans="1:18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spans="1:18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spans="1:18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spans="1:18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spans="1:18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spans="1:18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spans="1:18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spans="1:18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spans="1:18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spans="1:18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spans="1:18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spans="1:18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spans="1:18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spans="1:18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spans="1:18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spans="1:18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spans="1:18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spans="1:18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spans="1:18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spans="1:18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spans="1:18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spans="1:18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spans="1:18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spans="1:18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spans="1:18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spans="1:18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spans="1:18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spans="1:18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spans="1:18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spans="1:18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spans="1:18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spans="1:18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spans="1:18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spans="1:18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spans="1:18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spans="1:18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spans="1:18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spans="1:18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spans="1:18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spans="1:18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spans="1:18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spans="1:18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spans="1:18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spans="1:18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spans="1:18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spans="1:18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spans="1:18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spans="1:18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spans="1:18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spans="1:18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spans="1:18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spans="1:18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spans="1:18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spans="1:18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spans="1:18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spans="1:18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spans="1:18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spans="1:18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spans="1:18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spans="1:18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spans="1:18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spans="1:18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spans="1:18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spans="1:18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spans="1:18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spans="1:18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spans="1:18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spans="1:18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spans="1:18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spans="1:18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spans="1:18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spans="1:18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spans="1:18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spans="1:18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spans="1:18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spans="1:18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spans="1:18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spans="1:18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spans="1:18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spans="1:18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spans="1:18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spans="1:18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spans="1:18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spans="1:18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spans="1:18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spans="1:18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spans="1:18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spans="1:18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spans="1:18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spans="1:18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spans="1:18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spans="1:18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spans="1:18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spans="1:18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spans="1:18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spans="1:18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spans="1:18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spans="1:18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spans="1:18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spans="1:18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spans="1:18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spans="1:18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spans="1:18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spans="1:18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spans="1:18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spans="1:18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spans="1:18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spans="1:18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spans="1:18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spans="1:18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spans="1:18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spans="1:18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spans="1:18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spans="1:18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spans="1:18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spans="1:18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spans="1:18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spans="1:18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spans="1:18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spans="1:18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spans="1:18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spans="1:18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spans="1:18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spans="1:18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spans="1:18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spans="1:18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spans="1:18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spans="1:18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spans="1:18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spans="1:18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spans="1:18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spans="1:18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spans="1:18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spans="1:18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spans="1:18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spans="1:18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spans="1:18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spans="1:18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spans="1:18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spans="1:18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spans="1:18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spans="1:18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spans="1:18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spans="1:18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spans="1:18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spans="1:18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spans="1:18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spans="1:18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spans="1:18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spans="1:18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spans="1:18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spans="1:18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spans="1:18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spans="1:18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spans="1:18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spans="1:18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spans="1:18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spans="1:18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spans="1:18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spans="1:18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spans="1:18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spans="1:18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spans="1:18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spans="1:18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spans="1:18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spans="1:18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spans="1:18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spans="1:18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spans="1:18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spans="1:18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spans="1:18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spans="1:18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spans="1:18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spans="1:18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spans="1:18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spans="1:18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spans="1:18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spans="1:18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spans="1:18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spans="1:18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spans="1:18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spans="1:18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spans="1:18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spans="1:18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spans="1:18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spans="1:18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spans="1:18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spans="1:18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spans="1:18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spans="1:18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spans="1:18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spans="1:18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spans="1:18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spans="1:18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spans="1:18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spans="1:18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spans="1:18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spans="1:18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spans="1:18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spans="1:18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spans="1:18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spans="1:18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spans="1:18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spans="1:18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spans="1:18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spans="1:18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spans="1:18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spans="1:18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spans="1:18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spans="1:18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spans="1:18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spans="1:18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spans="1:18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spans="1:18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spans="1:18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spans="1:18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spans="1:18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spans="1:18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spans="1:18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spans="1:18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spans="1:18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spans="1:18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spans="1:18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spans="1:18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spans="1:18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spans="1:18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spans="1:18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spans="1:18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spans="1:18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spans="1:18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spans="1:18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spans="1:18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spans="1:18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spans="1:18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spans="1:18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spans="1:18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spans="1:18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spans="1:18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spans="1:18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spans="1:18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spans="1:18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spans="1:18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spans="1:18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spans="1:18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spans="1:18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spans="1:18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spans="1:18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spans="1:18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spans="1:18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spans="1:18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spans="1:18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spans="1:18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spans="1:18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spans="1:18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spans="1:18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spans="1:18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spans="1:18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spans="1:18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spans="1:18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spans="1:18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spans="1:18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spans="1:18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spans="1:18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spans="1:18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spans="1:18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spans="1:18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spans="1:18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spans="1:18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spans="1:18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spans="1:18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spans="1:18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spans="1:18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spans="1:18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spans="1:18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spans="1:18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spans="1:18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spans="1:18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spans="1:18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spans="1:18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spans="1:18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spans="1:18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spans="1:18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spans="1:18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spans="1:18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spans="1:18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spans="1:18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spans="1:18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spans="1:18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spans="1:18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spans="1:18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spans="1:18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spans="1:18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spans="1:18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spans="1:18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spans="1:18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spans="1:18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spans="1:18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spans="1:18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spans="1:18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spans="1:18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spans="1:18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spans="1:18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spans="1:18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spans="1:18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spans="1:18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spans="1:18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spans="1:18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spans="1:18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spans="1:18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spans="1:18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spans="1:18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spans="1:18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spans="1:18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spans="1:18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spans="1:18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spans="1:18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spans="1:18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spans="1:18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spans="1:18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spans="1:18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spans="1:18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spans="1:18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spans="1:18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spans="1:18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spans="1:18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spans="1:18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spans="1:18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spans="1:18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spans="1:18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spans="1:18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spans="1:18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spans="1:18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spans="1:18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spans="1:18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spans="1:18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spans="1:18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spans="1:18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spans="1:18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spans="1:18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spans="1:18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spans="1:18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spans="1:18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spans="1:18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spans="1:18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spans="1:18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spans="1:18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spans="1:18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spans="1:18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spans="1:18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spans="1:18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spans="1:18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spans="1:18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spans="1:18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spans="1:18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spans="1:18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spans="1:18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spans="1:18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spans="1:18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spans="1:18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spans="1:18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spans="1:18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spans="1:18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spans="1:18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spans="1:18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spans="1:18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spans="1:18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spans="1:18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spans="1:18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spans="1:18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spans="1:18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spans="1:18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spans="1:18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spans="1:18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spans="1:18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spans="1:18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spans="1:18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spans="1:18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spans="1:18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spans="1:18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spans="1:18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spans="1:18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spans="1:18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spans="1:18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spans="1:18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spans="1:18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spans="1:18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spans="1:18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spans="1:18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spans="1:18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spans="1:18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spans="1:18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spans="1:18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spans="1:18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spans="1:18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spans="1:18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spans="1:18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spans="1:18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spans="1:18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spans="1:18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spans="1:18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spans="1:18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spans="1:18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spans="1:18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spans="1:18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spans="1:18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spans="1:18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spans="1:18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spans="1:18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spans="1:18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spans="1:18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spans="1:18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spans="1:18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spans="1:18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spans="1:18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spans="1:18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spans="1:18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spans="1:18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spans="1:18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spans="1:18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spans="1:18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spans="1:18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spans="1:18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spans="1:18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spans="1:18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spans="1:18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spans="1:18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spans="1:18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spans="1:18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spans="1:18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spans="1:18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spans="1:18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spans="1:18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spans="1:18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spans="1:18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spans="1:18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spans="1:18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spans="1:18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spans="1:18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spans="1:18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spans="1:18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spans="1:18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spans="1:18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spans="1:18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spans="1:18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spans="1:18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spans="1:18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spans="1:18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spans="1:18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spans="1:18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spans="1:18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spans="1:18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spans="1:18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spans="1:18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spans="1:18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spans="1:18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spans="1:18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spans="1:18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spans="1:18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spans="1:18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spans="1:18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spans="1:18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spans="1:18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spans="1:18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spans="1:18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spans="1:18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spans="1:18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spans="1:18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spans="1:18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spans="1:18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spans="1:18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spans="1:18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spans="1:18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spans="1:18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spans="1:18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spans="1:18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spans="1:18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spans="1:18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spans="1:18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spans="1:18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spans="1:18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spans="1:18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spans="1:18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spans="1:18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spans="1:18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spans="1:18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spans="1:18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spans="1:18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spans="1:18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spans="1:18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spans="1:18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spans="1:18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spans="1:18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spans="1:18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spans="1:18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spans="1:18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spans="1:18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spans="1:18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spans="1:18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spans="1:18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spans="1:18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spans="1:18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spans="1:18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spans="1:18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spans="1:18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spans="1:18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spans="1:18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spans="1:18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spans="1:18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spans="1:18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spans="1:18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spans="1:18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spans="1:18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spans="1:18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spans="1:18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spans="1:18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spans="1:18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spans="1:18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spans="1:18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spans="1:18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spans="1:18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spans="1:18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spans="1:18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spans="1:18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spans="1:18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spans="1:18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spans="1:18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spans="1:18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spans="1:18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spans="1:18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spans="1:18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spans="1:18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spans="1:18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spans="1:18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spans="1:18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spans="1:18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spans="1:18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spans="1:18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spans="1:18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spans="1:18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spans="1:18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spans="1:18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spans="1:18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spans="1:18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spans="1:18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spans="1:18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spans="1:18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spans="1:18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spans="1:18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spans="1:18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spans="1:18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spans="1:18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spans="1:18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spans="1:18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spans="1:18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spans="1:18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spans="1:18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spans="1:18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spans="1:18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spans="1:18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spans="1:18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spans="1:18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spans="1:18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spans="1:18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spans="1:18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spans="1:18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spans="1:18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spans="1:18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spans="1:18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spans="1:18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spans="1:18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spans="1:18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spans="1:18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spans="1:18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spans="1:18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spans="1:18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spans="1:18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spans="1:18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spans="1:18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spans="1:18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spans="1:18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spans="1:18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spans="1:18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spans="1:18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spans="1:18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spans="1:18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spans="1:18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spans="1:18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spans="1:18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spans="1:18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spans="1:18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spans="1:18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spans="1:18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spans="1:18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spans="1:18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spans="1:18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spans="1:18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spans="1:18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spans="1:18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spans="1:18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spans="1:18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spans="1:18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spans="1:18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spans="1:18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spans="1:18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spans="1:18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spans="1:18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spans="1:18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spans="1:18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spans="1:18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spans="1:18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spans="1:18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spans="1:18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spans="1:18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spans="1:18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spans="1:18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spans="1:18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spans="1:18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spans="1:18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spans="1:18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spans="1:18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spans="1:18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spans="1:18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spans="1:18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spans="1:18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spans="1:18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spans="1:18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spans="1:18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spans="1:18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spans="1:18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spans="1:18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spans="1:18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spans="1:18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spans="1:18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spans="1:18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spans="1:18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spans="1:18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spans="1:18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spans="1:18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spans="1:18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spans="1:18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spans="1:18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spans="1:18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spans="1:18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spans="1:18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spans="1:18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spans="1:18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spans="1:18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spans="1:18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spans="1:18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spans="1:18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spans="1:18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spans="1:18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spans="1:18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spans="1:18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spans="1:18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spans="1:18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spans="1:18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spans="1:18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spans="1:18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spans="1:18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spans="1:18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spans="1:18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spans="1:18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spans="1:18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spans="1:18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spans="1:18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spans="1:18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spans="1:18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spans="1:18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spans="1:18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spans="1:18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spans="1:18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spans="1:18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spans="1:18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spans="1:18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spans="1:18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spans="1:18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spans="1:18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spans="1:18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spans="1:18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spans="1:18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spans="1:18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spans="1:18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spans="1:18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spans="1:18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spans="1:18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spans="1:18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spans="1:18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spans="1:18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spans="1:18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spans="1:18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spans="1:18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spans="1:18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spans="1:18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spans="1:18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spans="1:18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spans="1:18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spans="1:18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spans="1:18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spans="1:18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spans="1:18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spans="1:18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spans="1:18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spans="1:18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spans="1:18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spans="1:18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spans="1:18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spans="1:18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spans="1:18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spans="1:18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spans="1:18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spans="1:18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spans="1:18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spans="1:18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spans="1:18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spans="1:18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spans="1:18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spans="1:18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spans="1:18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spans="1:18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spans="1:18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spans="1:18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spans="1:18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spans="1:18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spans="1:18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spans="1:18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spans="1:18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spans="1:18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spans="1:18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spans="1:18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spans="1:18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spans="1:18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spans="1:18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  <row r="1001" spans="1:18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</row>
    <row r="1002" spans="1:18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</row>
    <row r="1003" spans="1:18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</row>
    <row r="1004" spans="1:18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</row>
    <row r="1005" spans="1:18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</row>
    <row r="1006" spans="1:18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</row>
    <row r="1007" spans="1:18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</row>
    <row r="1008" spans="1:18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</row>
    <row r="1009" spans="1:18" ht="14.25" customHeight="1" x14ac:dyDescent="0.3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</row>
    <row r="1010" spans="1:18" ht="14.25" customHeight="1" x14ac:dyDescent="0.3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</row>
    <row r="1011" spans="1:18" ht="14.25" customHeight="1" x14ac:dyDescent="0.3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2026-08-17T18:35:13Z</dcterms:modified>
</cp:coreProperties>
</file>