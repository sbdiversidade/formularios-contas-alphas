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04DED1D3-BA91-412E-9D68-3D581CAB691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C46" i="3" l="1"/>
  <c r="C45" i="3"/>
  <c r="C44" i="3"/>
  <c r="C4" i="3"/>
  <c r="C42" i="3"/>
  <c r="F42" i="3"/>
  <c r="C33" i="3"/>
  <c r="C15" i="3"/>
  <c r="C8" i="3"/>
  <c r="E42" i="3"/>
  <c r="I54" i="4"/>
  <c r="I53" i="4"/>
  <c r="I52" i="4"/>
  <c r="K51" i="4"/>
  <c r="I51" i="4"/>
  <c r="K50" i="4"/>
  <c r="I49" i="4"/>
  <c r="I50" i="4"/>
  <c r="I48" i="4"/>
  <c r="K48" i="4"/>
  <c r="K47" i="4"/>
  <c r="I47" i="4"/>
  <c r="F33" i="3"/>
  <c r="E33" i="3"/>
  <c r="F28" i="3"/>
  <c r="E28" i="3"/>
  <c r="G17" i="3"/>
  <c r="C17" i="3"/>
  <c r="G15" i="3"/>
  <c r="G14" i="3"/>
  <c r="C14" i="3"/>
  <c r="F29" i="3"/>
  <c r="E29" i="3"/>
  <c r="Q9" i="4"/>
  <c r="Q8" i="4"/>
  <c r="Q7" i="4"/>
  <c r="Q6" i="4"/>
  <c r="Q5" i="4"/>
  <c r="F8" i="3"/>
  <c r="E8" i="3"/>
  <c r="F7" i="3"/>
  <c r="E7" i="3"/>
  <c r="C7" i="3"/>
  <c r="F6" i="3"/>
  <c r="E6" i="3"/>
  <c r="C6" i="3"/>
  <c r="F5" i="3"/>
  <c r="E5" i="3"/>
  <c r="C5" i="3"/>
  <c r="F4" i="3"/>
  <c r="E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<sst xmlns="http://schemas.openxmlformats.org/spreadsheetml/2006/main" count="1713" uniqueCount="590">
  <si>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</si>
  <si>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</si>
  <si>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</si>
  <si>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</si>
  <si>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</si>
  <si>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</si>
  <si>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</si>
  <si>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</si>
  <si>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</si>
  <si>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</si>
  <si>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</si>
  <si>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</si>
  <si>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</si>
  <si>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</si>
  <si>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</si>
  <si>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</si>
  <si>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</si>
  <si>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</si>
  <si>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</si>
  <si>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</si>
  <si>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</si>
  <si>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</si>
  <si>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</si>
  <si>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</si>
  <si>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</si>
  <si>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</si>
  <si>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</si>
  <si>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</si>
  <si>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</si>
  <si>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</si>
  <si>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</si>
  <si>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</si>
  <si>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</si>
  <si>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</si>
  <si>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</si>
  <si>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</si>
  <si>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</si>
  <si>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</si>
  <si>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</si>
  <si>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</si>
  <si>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</si>
  <si>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</si>
  <si>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</si>
  <si>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</si>
  <si>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</si>
  <si>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</si>
  <si>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</si>
  <si>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</si>
  <si>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</si>
  <si>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</si>
  <si>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</si>
  <si>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</si>
  <si>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</si>
  <si>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</si>
  <si>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</si>
  <si>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</si>
  <si>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</si>
  <si>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</si>
  <si>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</si>
  <si>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</si>
  <si>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</si>
  <si>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</si>
  <si>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</si>
  <si>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</si>
  <si>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</si>
  <si>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</si>
  <si>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</si>
  <si>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</si>
  <si>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</si>
  <si>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</si>
  <si>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</si>
  <si>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</si>
  <si>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</si>
  <si>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</si>
  <si>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</si>
  <si>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</si>
  <si>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</si>
  <si>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</si>
  <si>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</si>
  <si>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</si>
  <si>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</si>
  <si>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</si>
  <si>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</si>
  <si>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</si>
  <si>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</si>
  <si>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</si>
  <si>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</si>
  <si>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</si>
  <si>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</si>
  <si>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</si>
  <si>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</si>
  <si>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</si>
  <si>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</si>
  <si>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</si>
  <si>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</si>
  <si>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</si>
  <si>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</si>
  <si>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</si>
  <si>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</si>
  <si>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</si>
  <si>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</si>
  <si>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</si>
  <si>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</si>
  <si>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</si>
  <si>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</si>
  <si>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</si>
  <si>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</si>
  <si>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</si>
  <si>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</si>
  <si>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</si>
  <si>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</si>
  <si>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</si>
  <si>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</si>
  <si>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</si>
  <si>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</si>
  <si>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</si>
  <si>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</si>
  <si>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</si>
  <si>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</si>
  <si>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</si>
  <si>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</si>
  <si>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</si>
  <si>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</si>
  <si>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</si>
  <si>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</si>
  <si>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</si>
  <si>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</si>
  <si>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</si>
  <si>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</si>
  <si>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</si>
  <si>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</si>
  <si>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</si>
  <si>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</si>
  <si>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</si>
  <si>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</si>
  <si>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</si>
  <si>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</si>
  <si>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</si>
  <si>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</si>
  <si>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</si>
  <si>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</si>
  <si>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</si>
  <si>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</si>
  <si>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</si>
  <si>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</si>
  <si>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</si>
  <si>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</si>
  <si>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</si>
  <si>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</si>
  <si>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</si>
  <si>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</si>
  <si>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</si>
  <si>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</si>
  <si>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</si>
  <si>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</si>
  <si>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</si>
  <si>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</si>
  <si>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</si>
  <si>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</si>
  <si>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</si>
  <si>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</si>
  <si>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</si>
  <si>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</si>
  <si>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</si>
  <si>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</si>
  <si>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</si>
  <si>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</si>
  <si>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</si>
  <si>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</si>
  <si>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</si>
  <si>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</si>
  <si>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</si>
  <si>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</si>
  <si>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</si>
  <si>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</si>
  <si>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</si>
  <si>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</si>
  <si>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</si>
  <si>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</si>
  <si>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</si>
  <si>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</si>
  <si>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</si>
  <si>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</si>
  <si>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</si>
  <si>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</si>
  <si>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</si>
  <si>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</si>
  <si>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</si>
  <si>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</si>
  <si>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</si>
  <si>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</si>
  <si>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</si>
  <si>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</si>
  <si>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</si>
  <si>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</si>
  <si>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</si>
  <si>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</si>
  <si>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</si>
  <si>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</si>
  <si>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</si>
  <si>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</si>
  <si>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</si>
  <si>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</si>
  <si>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</si>
  <si>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</si>
  <si>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</si>
  <si>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</si>
  <si>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</si>
  <si>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</si>
  <si>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</si>
  <si>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</si>
  <si>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</si>
  <si>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</si>
  <si>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</si>
  <si>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</si>
  <si>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</si>
  <si>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</si>
  <si>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</si>
  <si>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</si>
  <si>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</si>
  <si>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</si>
  <si>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</si>
  <si>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</si>
  <si>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</si>
  <si>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</si>
  <si>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</si>
  <si>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</si>
  <si>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</si>
  <si>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</si>
  <si>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</si>
  <si>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</si>
  <si>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</si>
  <si>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</si>
  <si>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</si>
  <si>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</si>
  <si>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</si>
  <si>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</si>
  <si>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</si>
  <si>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</si>
  <si>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</si>
  <si>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</si>
  <si>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</si>
  <si>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</si>
  <si>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</si>
  <si>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</si>
  <si>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</si>
  <si>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</si>
  <si>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</si>
  <si>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</si>
  <si>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</si>
  <si>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</si>
  <si>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</si>
  <si>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</si>
  <si>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</si>
  <si>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</si>
  <si>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</si>
  <si>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</si>
  <si>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</si>
  <si>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</si>
  <si>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</si>
  <si>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</si>
  <si>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</si>
  <si>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</si>
  <si>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</si>
  <si>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</si>
  <si>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</si>
  <si>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</si>
  <si>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</si>
  <si>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</si>
  <si>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</si>
  <si>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</si>
  <si>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</si>
  <si>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</si>
  <si>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</si>
  <si>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</si>
  <si>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</si>
  <si>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</si>
  <si>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</si>
  <si>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</si>
  <si>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</si>
  <si>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</si>
  <si>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</si>
  <si>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</si>
  <si>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</si>
  <si>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</si>
  <si>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</si>
  <si>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</si>
  <si>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</si>
  <si>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</si>
  <si>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</si>
  <si>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</si>
  <si>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</si>
  <si>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</si>
  <si>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</si>
  <si>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</si>
  <si>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</si>
  <si>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</si>
  <si>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</si>
  <si>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</si>
  <si>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</si>
  <si>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</si>
  <si>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</si>
  <si>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</si>
  <si>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</si>
  <si>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</si>
  <si>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</si>
  <si>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</si>
  <si>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</si>
  <si>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</si>
  <si>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</si>
  <si>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</si>
  <si>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</si>
  <si>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</si>
  <si>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</si>
  <si>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</si>
  <si>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</si>
  <si>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</si>
  <si>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</si>
  <si>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</si>
  <si>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</si>
  <si>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</si>
  <si>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</si>
  <si>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</si>
  <si>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</si>
  <si>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</si>
  <si>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</si>
  <si>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</si>
  <si>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</si>
  <si>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</si>
  <si>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</si>
  <si>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</si>
  <si>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</si>
  <si>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</si>
  <si>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</si>
  <si>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</si>
  <si>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</si>
  <si>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</si>
  <si>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</si>
  <si>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</si>
  <si>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</si>
  <si>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</si>
  <si>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</si>
  <si>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</si>
  <si>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</si>
  <si>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</si>
  <si>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</si>
  <si>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</si>
  <si>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</si>
  <si>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</si>
  <si>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</si>
  <si>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</si>
  <si>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</si>
  <si>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</si>
  <si>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</si>
  <si>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</si>
  <si>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</si>
  <si>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</si>
  <si>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</si>
  <si>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</si>
  <si>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</si>
  <si>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</si>
  <si>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</si>
  <si>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</si>
  <si>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</si>
  <si>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</si>
  <si>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</si>
  <si>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</si>
  <si>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</si>
  <si>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</si>
  <si>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</si>
  <si>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</si>
  <si>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</si>
  <si>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</si>
  <si>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</si>
  <si>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</si>
  <si>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</si>
  <si>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</si>
  <si>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</si>
  <si>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</si>
  <si>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</si>
  <si>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</si>
  <si>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</si>
  <si>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</si>
  <si>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</si>
  <si>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</si>
  <si>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</si>
  <si>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</si>
  <si>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</si>
  <si>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</si>
  <si>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</si>
  <si>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</si>
  <si>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</si>
  <si>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</si>
  <si>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</si>
  <si>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</si>
  <si>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</si>
  <si>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</si>
  <si>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</si>
  <si>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</si>
  <si>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</si>
  <si>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</si>
  <si>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</si>
  <si>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</si>
  <si>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</si>
  <si>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</si>
  <si>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</si>
  <si>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</si>
  <si>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</si>
  <si>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</si>
  <si>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</si>
  <si>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</si>
  <si>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</si>
  <si>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</si>
  <si>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</si>
  <si>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</si>
  <si>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</si>
  <si>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</si>
  <si>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</si>
  <si>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</si>
  <si>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</si>
  <si>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</si>
  <si>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</si>
  <si>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</si>
  <si>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</si>
  <si>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</si>
  <si>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</si>
  <si>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</si>
  <si>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</si>
  <si>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</si>
  <si>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</si>
  <si>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</si>
  <si>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</si>
  <si>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</si>
  <si>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</si>
  <si>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</si>
  <si>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</si>
  <si>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</si>
  <si>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</si>
  <si>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</si>
  <si>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</si>
  <si>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</si>
  <si>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</si>
  <si>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</si>
  <si>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</si>
  <si>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</si>
  <si>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</si>
  <si>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</si>
  <si>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</si>
  <si>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</si>
  <si>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</si>
  <si>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</si>
  <si>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</si>
  <si>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</si>
  <si>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</si>
  <si>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</si>
  <si>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</si>
  <si>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</si>
  <si>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</si>
  <si>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</si>
  <si>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</si>
  <si>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</si>
  <si>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</si>
  <si>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</si>
  <si>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</si>
  <si>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</si>
  <si>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</si>
  <si>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</si>
  <si>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</si>
  <si>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</si>
  <si>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</si>
  <si>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</si>
  <si>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</si>
  <si>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</si>
  <si>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</si>
  <si>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</si>
  <si>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</si>
  <si>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</si>
  <si>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</si>
  <si>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</si>
  <si>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</si>
  <si>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</si>
  <si>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</si>
  <si>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</si>
  <si>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</si>
  <si>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</si>
  <si>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</si>
  <si>
    <t>Lissandra, Alanna, Luiz e Sebastião</t>
  </si>
  <si>
    <t>Adalmor</t>
  </si>
  <si>
    <t>Samaúma Óleos Vegetais Da Amazônia</t>
  </si>
  <si>
    <t>Samaúma - Curua Uma - Santarém</t>
  </si>
  <si>
    <t>Manteiga de cupuaçu, Manteiga de cacau, Óleo de andiroba, Óleo de coco; Óleo de maracujá, oleo de
gergelim; Copaíba ( semente e tronco) ( vai começar atravessar castanha)</t>
  </si>
  <si>
    <t>In natura e processados</t>
  </si>
  <si>
    <t>Em 2025, comprou de uma cooperativa de Manaus</t>
  </si>
  <si>
    <t>Manteiga : 4 kg de semente rende 1 L
Andiroba: 5 kg seca rende 1 L
Copaíba 1 L gera 950 Ml
Cumarú 3 kg de semente seca rende 1 L
cupuaçu 4 kg rende 1 L</t>
  </si>
  <si>
    <t>Contínuo</t>
  </si>
  <si>
    <t>Balacrim (manaus) : garrafas pets e carotes. Química: potes e Baldes</t>
  </si>
  <si>
    <t>Balacrim: 5 mil no ano de 2024.</t>
  </si>
  <si>
    <t>4 pessoas ( 2 filhos. ele, e um de fora)</t>
  </si>
  <si>
    <t>Na diária</t>
  </si>
  <si>
    <t>Financiamento e recurso Próprio, diretamente com as empresas que vendem o equipamento.</t>
  </si>
  <si>
    <t>Cupuaçú</t>
  </si>
  <si>
    <t>Francisco; tarcísio;
José Isidorio</t>
  </si>
  <si>
    <t>Compra e produz</t>
  </si>
  <si>
    <t>Da mesma cooperativa, não interfere</t>
  </si>
  <si>
    <t>Santarém
Garrafão (mojuí)
Curupira ( curua una)</t>
  </si>
  <si>
    <t>Tarcísio</t>
  </si>
  <si>
    <t>Rubenir (vizinho)</t>
  </si>
  <si>
    <t>Produz 80 %
Compra 20%</t>
  </si>
  <si>
    <t>Não interfere</t>
  </si>
  <si>
    <t>Samaúma
Lirios dos vales
Comunidade dos patos</t>
  </si>
  <si>
    <t>Produz</t>
  </si>
  <si>
    <t>Samaúma
chapadão
cachoeira do aruã</t>
  </si>
  <si>
    <t>90% vende. 10% produz</t>
  </si>
  <si>
    <t>Area indigena
cahoeira do aruã
Boa esperança</t>
  </si>
  <si>
    <t>Vizinhos</t>
  </si>
  <si>
    <t>Dona Edite (Liberdade STM)</t>
  </si>
  <si>
    <t>Farmaceutica da Mahá que presta serviço pra ele (BRUNA)</t>
  </si>
  <si>
    <t>Ele produz</t>
  </si>
  <si>
    <t>Copaiba</t>
  </si>
  <si>
    <t>Busca</t>
  </si>
  <si>
    <t>Em casa e ele pega</t>
  </si>
  <si>
    <t>Quando é perto entregam, e quando é longe ele busca.</t>
  </si>
  <si>
    <t>Carro Proprio</t>
  </si>
  <si>
    <t>50 a 60 de gasolina</t>
  </si>
  <si>
    <t>quando entregam na casa dele é incluso no valor. Ou ele pega
no transporte proprio</t>
  </si>
  <si>
    <t>Carro proprio</t>
  </si>
  <si>
    <t>90 reais de gasolina</t>
  </si>
  <si>
    <t>Moto propria</t>
  </si>
  <si>
    <t>20 a 30 reais
quando vem da aldeia
gasta 200 reais
para buscar</t>
  </si>
  <si>
    <t>Manteiga</t>
  </si>
  <si>
    <t>Medicinal e
cosmetico</t>
  </si>
  <si>
    <t>ano todo</t>
  </si>
  <si>
    <t>Equilibrium
atravessador</t>
  </si>
  <si>
    <t>4 kg de semente rende 1 L</t>
  </si>
  <si>
    <t>Óleo de andiroba</t>
  </si>
  <si>
    <t>80% são atravessadores
Elton 400 L de andiroba
Adelson 200 L de andiroba
Davi 200 L de andiroba
Raizeiro 200 L de andiroba</t>
  </si>
  <si>
    <t>mercadão 2000</t>
  </si>
  <si>
    <t>Óleo de copaíba</t>
  </si>
  <si>
    <t>5 kg seca rende 1 L</t>
  </si>
  <si>
    <t>1 L gera 950 Ml</t>
  </si>
  <si>
    <t>3 kg de semente seca rende 1 L</t>
  </si>
  <si>
    <t>óleo de Cumarú</t>
  </si>
  <si>
    <t>Semente de Cumarú</t>
  </si>
  <si>
    <t>1 L que custa 600 Reais, da 20 garrafas de 50 ML
que custa 50 reais</t>
  </si>
  <si>
    <t>Guilherme
Vende pro povo todo mundo compra a varejo.</t>
  </si>
  <si>
    <t>Liquido</t>
  </si>
  <si>
    <t>Luiz</t>
  </si>
  <si>
    <t>Abraão Chocron</t>
  </si>
  <si>
    <t>Mundial Exportadora</t>
  </si>
  <si>
    <t>Óbidos - PA</t>
  </si>
  <si>
    <t>32 pessoas</t>
  </si>
  <si>
    <t>Safra</t>
  </si>
  <si>
    <t>Castanha do Pará e Cumaru</t>
  </si>
  <si>
    <t>Todos</t>
  </si>
  <si>
    <t>Cumaru é limpo e escolhido. E a castanha com e sem casca</t>
  </si>
  <si>
    <t>castanha: 120 a 150 sacos. Cumaru: 10 a 18 toneladas</t>
  </si>
  <si>
    <t>SACA= 60 KG. TONELADA = 1000 KG</t>
  </si>
  <si>
    <t>Tem contrato</t>
  </si>
  <si>
    <t>1600 caixas em container</t>
  </si>
  <si>
    <t>7 anos, mas tem muito produtor novo</t>
  </si>
  <si>
    <t>Alenquer, Óbidos, Oriximiná</t>
  </si>
  <si>
    <t>Santarém - Japonês, Manaus, Alenquer, Óbidos, Oriximiná</t>
  </si>
  <si>
    <t>Claúdio, Raimundo e Edenilson (Dinho)</t>
  </si>
  <si>
    <t>Cumaru (seco)</t>
  </si>
  <si>
    <t>José Vitor</t>
  </si>
  <si>
    <t>Rafael</t>
  </si>
  <si>
    <t>Sorveteria Boto</t>
  </si>
  <si>
    <t>Sorvetes, casquinhas, biscoitos, bolos, flocos de casquinha, castanha chocolateada, pacotes de sementes de cumaru, geleias.</t>
  </si>
  <si>
    <t>Sorvetes, castanha chocolateada, pacotes de sementes de cumaru</t>
  </si>
  <si>
    <t xml:space="preserve">Castanha: 3 caixas (60kg); Cumaru 3 a 4kg; Mel: 3 a 4 litros. </t>
  </si>
  <si>
    <t>Contratos Verbais</t>
  </si>
  <si>
    <t>Sorvete de mel: 1 kg de mel por cuba, gera 4kg de sorvete. Sorvete de Cumaru: 6 a 8 g de cumaru por cuba, gera 4kg. Sorvete de castanha: 2 a 3 kg de castanha por cuba. Casquinha de cumaru, 8 a 10 g para 150 und.</t>
  </si>
  <si>
    <t>Cop 30 e eventos da prefeitura</t>
  </si>
  <si>
    <t>Mercado livre e gráficas locais, embalagens personalizadas.</t>
  </si>
  <si>
    <t>15 pessoas</t>
  </si>
  <si>
    <t>Funciona em 3 turnos, com escala</t>
  </si>
  <si>
    <t>Escala</t>
  </si>
  <si>
    <t>Cumaru seco</t>
  </si>
  <si>
    <t>Castanha do Pará</t>
  </si>
  <si>
    <t>Reginaldo (Mercadão 2000)</t>
  </si>
  <si>
    <t>Intermediário</t>
  </si>
  <si>
    <t>Produz e processa</t>
  </si>
  <si>
    <t>Produz (criação própria de abelhas)</t>
  </si>
  <si>
    <t>6 a 7 anos</t>
  </si>
  <si>
    <t>Cerca de 10 anos</t>
  </si>
  <si>
    <t>Sim, a funcionária morou e trabalhou com eles há mais de 15 anos.</t>
  </si>
  <si>
    <t>Apenas negócio</t>
  </si>
  <si>
    <t>Relação comercial de longa data, com certa amizade/prioridade no atendimento</t>
  </si>
  <si>
    <t>Santarém, área mais afastada</t>
  </si>
  <si>
    <t>Dona Eliete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</si>
</sst>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H15" activePane="bottomRight" state="frozen"/>
      <selection pane="topRight" activeCell="H1" sqref="H1"/>
      <selection pane="bottomLeft" activeCell="A3" sqref="A3"/>
      <selection pane="bottomRight" activeCell="Z17" sqref="Z17"/>
    </sheetView>
  </sheetViews>
  <sheetFormatPr defaultColWidth="12.6640625" defaultRowHeight="15" customHeight="1" x14ac:dyDescent="0.3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8.33203125" customWidth="1"/>
    <col min="17" max="17" width="12" customWidth="1"/>
    <col min="18" max="18" width="11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7" ht="14.25" customHeight="1" x14ac:dyDescent="0.3">
      <c r="A1" s="62" t="s">
        <v>0</v>
      </c>
      <c r="B1" s="63"/>
      <c r="C1" s="63"/>
      <c r="D1" s="63"/>
      <c r="E1" s="63"/>
      <c r="F1" s="63"/>
      <c r="G1" s="64"/>
      <c r="H1" s="65" t="s">
        <v>1</v>
      </c>
      <c r="I1" s="66"/>
      <c r="J1" s="66"/>
      <c r="K1" s="67"/>
      <c r="L1" s="65" t="s">
        <v>2</v>
      </c>
      <c r="M1" s="66"/>
      <c r="N1" s="66"/>
      <c r="O1" s="67"/>
      <c r="P1" s="65" t="s">
        <v>3</v>
      </c>
      <c r="Q1" s="66"/>
      <c r="R1" s="66"/>
      <c r="S1" s="66"/>
      <c r="T1" s="67"/>
      <c r="U1" s="68" t="s">
        <v>4</v>
      </c>
      <c r="V1" s="66"/>
      <c r="W1" s="66"/>
      <c r="X1" s="66"/>
      <c r="Y1" s="66"/>
      <c r="Z1" s="67"/>
    </row>
    <row r="2" spans="1:27" ht="54.6" customHeight="1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7" s="20" customFormat="1" ht="67.5" customHeight="1" x14ac:dyDescent="0.25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7" s="20" customFormat="1" ht="73.2" customHeight="1" x14ac:dyDescent="0.25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7" ht="14.25" customHeight="1" x14ac:dyDescent="0.3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7" ht="14.25" customHeight="1" x14ac:dyDescent="0.3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7" ht="137.4" customHeight="1" x14ac:dyDescent="0.3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7" ht="48.6" customHeight="1" x14ac:dyDescent="0.3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7" ht="14.25" customHeight="1" x14ac:dyDescent="0.3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7" ht="86.4" customHeight="1" x14ac:dyDescent="0.3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7" s="20" customFormat="1" ht="97.2" customHeight="1" x14ac:dyDescent="0.25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7" s="15" customFormat="1" ht="14.25" customHeight="1" x14ac:dyDescent="0.25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6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7" s="20" customFormat="1" ht="79.95" customHeight="1" x14ac:dyDescent="0.25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7" s="51" customFormat="1" ht="126" customHeight="1" x14ac:dyDescent="0.25">
      <c r="A14" s="4">
        <v>212</v>
      </c>
      <c r="B14" s="5">
        <v>46002</v>
      </c>
      <c r="C14" s="6" t="s">
        <v>486</v>
      </c>
      <c r="D14" s="4" t="s">
        <v>487</v>
      </c>
      <c r="E14" s="6" t="s">
        <v>488</v>
      </c>
      <c r="F14" s="4" t="s">
        <v>33</v>
      </c>
      <c r="G14" s="6" t="s">
        <v>489</v>
      </c>
      <c r="H14" s="6" t="s">
        <v>490</v>
      </c>
      <c r="I14" s="4" t="s">
        <v>33</v>
      </c>
      <c r="J14" s="6" t="s">
        <v>491</v>
      </c>
      <c r="K14" s="6" t="s">
        <v>492</v>
      </c>
      <c r="L14" s="6" t="s">
        <v>493</v>
      </c>
      <c r="M14" s="4" t="s">
        <v>33</v>
      </c>
      <c r="N14" s="4" t="s">
        <v>494</v>
      </c>
      <c r="O14" s="4" t="s">
        <v>98</v>
      </c>
      <c r="P14" s="4" t="s">
        <v>33</v>
      </c>
      <c r="Q14" s="4" t="s">
        <v>37</v>
      </c>
      <c r="R14" s="4" t="s">
        <v>33</v>
      </c>
      <c r="S14" s="6" t="s">
        <v>495</v>
      </c>
      <c r="T14" s="6" t="s">
        <v>496</v>
      </c>
      <c r="U14" s="6" t="s">
        <v>497</v>
      </c>
      <c r="V14" s="4" t="s">
        <v>498</v>
      </c>
      <c r="W14" s="4" t="s">
        <v>442</v>
      </c>
      <c r="X14" s="4" t="s">
        <v>33</v>
      </c>
      <c r="Y14" s="4" t="s">
        <v>33</v>
      </c>
      <c r="Z14" s="6" t="s">
        <v>499</v>
      </c>
      <c r="AA14" s="60" t="s">
        <v>516</v>
      </c>
    </row>
    <row r="15" spans="1:27" s="51" customFormat="1" ht="65.400000000000006" customHeight="1" x14ac:dyDescent="0.25">
      <c r="A15" s="4">
        <v>213</v>
      </c>
      <c r="B15" s="5">
        <v>46101</v>
      </c>
      <c r="C15" s="4" t="s">
        <v>546</v>
      </c>
      <c r="D15" s="4" t="s">
        <v>547</v>
      </c>
      <c r="E15" s="4" t="s">
        <v>548</v>
      </c>
      <c r="F15" s="4" t="s">
        <v>33</v>
      </c>
      <c r="G15" s="4" t="s">
        <v>549</v>
      </c>
      <c r="H15" s="4" t="s">
        <v>552</v>
      </c>
      <c r="I15" s="4" t="s">
        <v>553</v>
      </c>
      <c r="J15" s="6" t="s">
        <v>554</v>
      </c>
      <c r="K15" s="4" t="s">
        <v>33</v>
      </c>
      <c r="L15" s="6" t="s">
        <v>556</v>
      </c>
      <c r="M15" s="6" t="s">
        <v>555</v>
      </c>
      <c r="N15" s="4" t="s">
        <v>33</v>
      </c>
      <c r="O15" s="4" t="s">
        <v>557</v>
      </c>
      <c r="P15" s="4" t="s">
        <v>33</v>
      </c>
      <c r="Q15" s="4" t="s">
        <v>37</v>
      </c>
      <c r="R15" s="6" t="s">
        <v>558</v>
      </c>
      <c r="S15" s="4" t="s">
        <v>33</v>
      </c>
      <c r="T15" s="4" t="s">
        <v>33</v>
      </c>
      <c r="U15" s="4" t="s">
        <v>550</v>
      </c>
      <c r="V15" s="4" t="s">
        <v>33</v>
      </c>
      <c r="W15" s="4" t="s">
        <v>33</v>
      </c>
      <c r="X15" s="4" t="s">
        <v>83</v>
      </c>
      <c r="Y15" s="4" t="s">
        <v>551</v>
      </c>
      <c r="Z15" s="4" t="s">
        <v>134</v>
      </c>
    </row>
    <row r="16" spans="1:27" s="51" customFormat="1" ht="190.2" customHeight="1" x14ac:dyDescent="0.25">
      <c r="A16" s="4">
        <v>214</v>
      </c>
      <c r="B16" s="4"/>
      <c r="C16" s="4" t="s">
        <v>564</v>
      </c>
      <c r="D16" s="4" t="s">
        <v>565</v>
      </c>
      <c r="E16" s="4" t="s">
        <v>566</v>
      </c>
      <c r="F16" s="4" t="s">
        <v>33</v>
      </c>
      <c r="G16" s="4" t="s">
        <v>34</v>
      </c>
      <c r="H16" s="6" t="s">
        <v>567</v>
      </c>
      <c r="I16" s="6" t="s">
        <v>568</v>
      </c>
      <c r="J16" s="4" t="s">
        <v>64</v>
      </c>
      <c r="K16" s="4" t="s">
        <v>33</v>
      </c>
      <c r="L16" s="4" t="s">
        <v>33</v>
      </c>
      <c r="M16" s="6" t="s">
        <v>569</v>
      </c>
      <c r="N16" s="4" t="s">
        <v>33</v>
      </c>
      <c r="O16" s="4" t="s">
        <v>570</v>
      </c>
      <c r="P16" s="6" t="s">
        <v>571</v>
      </c>
      <c r="Q16" s="6" t="s">
        <v>572</v>
      </c>
      <c r="R16" s="6" t="s">
        <v>33</v>
      </c>
      <c r="S16" s="6" t="s">
        <v>573</v>
      </c>
      <c r="T16" s="4" t="s">
        <v>33</v>
      </c>
      <c r="U16" s="4" t="s">
        <v>574</v>
      </c>
      <c r="V16" s="6" t="s">
        <v>575</v>
      </c>
      <c r="W16" s="4" t="s">
        <v>442</v>
      </c>
      <c r="X16" s="4" t="s">
        <v>83</v>
      </c>
      <c r="Y16" s="4" t="s">
        <v>576</v>
      </c>
      <c r="Z16" s="4" t="s">
        <v>33</v>
      </c>
    </row>
    <row r="17" spans="1:26" ht="14.2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F44" sqref="F44"/>
    </sheetView>
  </sheetViews>
  <sheetFormatPr defaultColWidth="12.6640625" defaultRowHeight="15" customHeight="1" x14ac:dyDescent="0.3"/>
  <cols>
    <col min="1" max="1" width="12" customWidth="1"/>
    <col min="2" max="2" width="20.6640625" customWidth="1"/>
    <col min="3" max="3" width="19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 x14ac:dyDescent="0.3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 x14ac:dyDescent="0.3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3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 x14ac:dyDescent="0.3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 x14ac:dyDescent="0.3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 x14ac:dyDescent="0.3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 x14ac:dyDescent="0.3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 x14ac:dyDescent="0.3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 x14ac:dyDescent="0.3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 x14ac:dyDescent="0.3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 x14ac:dyDescent="0.3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 x14ac:dyDescent="0.3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 x14ac:dyDescent="0.3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 x14ac:dyDescent="0.3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 x14ac:dyDescent="0.3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 x14ac:dyDescent="0.3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 x14ac:dyDescent="0.3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 x14ac:dyDescent="0.3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 x14ac:dyDescent="0.3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 x14ac:dyDescent="0.3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 x14ac:dyDescent="0.3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 x14ac:dyDescent="0.3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 x14ac:dyDescent="0.3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 x14ac:dyDescent="0.3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 x14ac:dyDescent="0.3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 x14ac:dyDescent="0.3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 x14ac:dyDescent="0.3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 x14ac:dyDescent="0.3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 x14ac:dyDescent="0.3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 x14ac:dyDescent="0.3">
      <c r="A30" s="47">
        <v>210</v>
      </c>
      <c r="B30" s="49" t="s">
        <v>464</v>
      </c>
      <c r="C30" s="49" t="s">
        <v>465</v>
      </c>
      <c r="D30" s="49" t="s">
        <v>164</v>
      </c>
      <c r="E30" s="2"/>
      <c r="F30" s="2"/>
      <c r="G30" s="49" t="s">
        <v>170</v>
      </c>
      <c r="H30" s="2"/>
      <c r="I30" s="2"/>
      <c r="J30" s="2"/>
    </row>
    <row r="31" spans="1:10" s="20" customFormat="1" ht="100.2" customHeight="1" x14ac:dyDescent="0.25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s="51" customFormat="1" ht="51.6" customHeight="1" x14ac:dyDescent="0.25">
      <c r="A32" s="4">
        <v>212</v>
      </c>
      <c r="B32" s="4" t="s">
        <v>500</v>
      </c>
      <c r="C32" s="6" t="s">
        <v>501</v>
      </c>
      <c r="D32" s="4" t="s">
        <v>502</v>
      </c>
      <c r="E32" s="4" t="s">
        <v>484</v>
      </c>
      <c r="F32" s="4" t="s">
        <v>344</v>
      </c>
      <c r="G32" s="6" t="s">
        <v>503</v>
      </c>
      <c r="H32" s="6" t="s">
        <v>504</v>
      </c>
      <c r="I32" s="4" t="s">
        <v>505</v>
      </c>
      <c r="J32" s="4" t="s">
        <v>33</v>
      </c>
    </row>
    <row r="33" spans="1:10" s="51" customFormat="1" ht="67.8" customHeight="1" x14ac:dyDescent="0.25">
      <c r="A33" s="4">
        <v>212</v>
      </c>
      <c r="B33" s="4" t="s">
        <v>220</v>
      </c>
      <c r="C33" s="4" t="s">
        <v>506</v>
      </c>
      <c r="D33" s="6" t="s">
        <v>507</v>
      </c>
      <c r="E33" s="4" t="s">
        <v>153</v>
      </c>
      <c r="F33" s="4" t="s">
        <v>344</v>
      </c>
      <c r="G33" s="4" t="s">
        <v>508</v>
      </c>
      <c r="H33" s="6" t="s">
        <v>509</v>
      </c>
      <c r="I33" s="4" t="s">
        <v>33</v>
      </c>
      <c r="J33" s="4" t="s">
        <v>33</v>
      </c>
    </row>
    <row r="34" spans="1:10" s="51" customFormat="1" ht="60.6" customHeight="1" x14ac:dyDescent="0.25">
      <c r="A34" s="4">
        <v>212</v>
      </c>
      <c r="B34" s="4" t="s">
        <v>224</v>
      </c>
      <c r="C34" s="4" t="s">
        <v>506</v>
      </c>
      <c r="D34" s="4" t="s">
        <v>510</v>
      </c>
      <c r="E34" s="4" t="s">
        <v>153</v>
      </c>
      <c r="F34" s="4" t="s">
        <v>344</v>
      </c>
      <c r="G34" s="4" t="s">
        <v>508</v>
      </c>
      <c r="H34" s="6" t="s">
        <v>511</v>
      </c>
      <c r="I34" s="4" t="s">
        <v>33</v>
      </c>
      <c r="J34" s="4" t="s">
        <v>33</v>
      </c>
    </row>
    <row r="35" spans="1:10" s="51" customFormat="1" ht="62.4" customHeight="1" x14ac:dyDescent="0.25">
      <c r="A35" s="4">
        <v>212</v>
      </c>
      <c r="B35" s="4" t="s">
        <v>217</v>
      </c>
      <c r="C35" s="4" t="s">
        <v>506</v>
      </c>
      <c r="D35" s="6" t="s">
        <v>512</v>
      </c>
      <c r="E35" s="4" t="s">
        <v>480</v>
      </c>
      <c r="F35" s="4" t="s">
        <v>344</v>
      </c>
      <c r="G35" s="4" t="s">
        <v>33</v>
      </c>
      <c r="H35" s="6" t="s">
        <v>513</v>
      </c>
      <c r="I35" s="4" t="s">
        <v>514</v>
      </c>
      <c r="J35" s="4" t="s">
        <v>33</v>
      </c>
    </row>
    <row r="36" spans="1:10" s="51" customFormat="1" ht="43.2" customHeight="1" x14ac:dyDescent="0.25">
      <c r="A36" s="4">
        <v>212</v>
      </c>
      <c r="B36" s="4" t="s">
        <v>168</v>
      </c>
      <c r="C36" s="4" t="s">
        <v>33</v>
      </c>
      <c r="D36" s="4" t="s">
        <v>33</v>
      </c>
      <c r="E36" s="4" t="s">
        <v>33</v>
      </c>
      <c r="F36" s="4" t="s">
        <v>33</v>
      </c>
      <c r="G36" s="4" t="s">
        <v>33</v>
      </c>
      <c r="H36" s="6" t="s">
        <v>515</v>
      </c>
      <c r="I36" s="4" t="s">
        <v>33</v>
      </c>
      <c r="J36" s="4" t="s">
        <v>33</v>
      </c>
    </row>
    <row r="37" spans="1:10" s="51" customFormat="1" ht="62.4" customHeight="1" x14ac:dyDescent="0.25">
      <c r="A37" s="4">
        <v>213</v>
      </c>
      <c r="B37" s="4" t="s">
        <v>50</v>
      </c>
      <c r="C37" s="4" t="s">
        <v>33</v>
      </c>
      <c r="D37" s="4" t="s">
        <v>33</v>
      </c>
      <c r="E37" s="6" t="s">
        <v>559</v>
      </c>
      <c r="F37" s="4" t="s">
        <v>33</v>
      </c>
      <c r="G37" s="4" t="s">
        <v>33</v>
      </c>
      <c r="H37" s="6" t="s">
        <v>560</v>
      </c>
      <c r="I37" s="6" t="s">
        <v>562</v>
      </c>
      <c r="J37" s="4" t="s">
        <v>33</v>
      </c>
    </row>
    <row r="38" spans="1:10" s="51" customFormat="1" ht="84.6" customHeight="1" x14ac:dyDescent="0.25">
      <c r="A38" s="4">
        <v>213</v>
      </c>
      <c r="B38" s="4" t="s">
        <v>278</v>
      </c>
      <c r="C38" s="4" t="s">
        <v>33</v>
      </c>
      <c r="D38" s="4" t="s">
        <v>33</v>
      </c>
      <c r="E38" s="4" t="s">
        <v>33</v>
      </c>
      <c r="F38" s="4" t="s">
        <v>33</v>
      </c>
      <c r="G38" s="4" t="s">
        <v>33</v>
      </c>
      <c r="H38" s="6" t="s">
        <v>561</v>
      </c>
      <c r="I38" s="6" t="s">
        <v>562</v>
      </c>
      <c r="J38" s="4" t="s">
        <v>33</v>
      </c>
    </row>
    <row r="39" spans="1:10" s="51" customFormat="1" ht="64.2" customHeight="1" x14ac:dyDescent="0.25">
      <c r="A39" s="4">
        <v>214</v>
      </c>
      <c r="B39" s="4" t="s">
        <v>168</v>
      </c>
      <c r="C39" s="4" t="s">
        <v>33</v>
      </c>
      <c r="D39" s="6" t="s">
        <v>582</v>
      </c>
      <c r="E39" s="4" t="s">
        <v>583</v>
      </c>
      <c r="F39" s="4" t="s">
        <v>33</v>
      </c>
      <c r="G39" s="6" t="s">
        <v>585</v>
      </c>
      <c r="H39" s="6" t="s">
        <v>588</v>
      </c>
      <c r="I39" s="4" t="s">
        <v>589</v>
      </c>
      <c r="J39" s="4"/>
    </row>
    <row r="40" spans="1:10" s="51" customFormat="1" ht="29.4" customHeight="1" x14ac:dyDescent="0.25">
      <c r="A40" s="4">
        <v>214</v>
      </c>
      <c r="B40" s="4" t="s">
        <v>577</v>
      </c>
      <c r="C40" s="6" t="s">
        <v>579</v>
      </c>
      <c r="D40" s="4" t="s">
        <v>580</v>
      </c>
      <c r="E40" s="4" t="s">
        <v>153</v>
      </c>
      <c r="F40" s="4" t="s">
        <v>33</v>
      </c>
      <c r="G40" s="4" t="s">
        <v>586</v>
      </c>
      <c r="H40" s="4" t="s">
        <v>34</v>
      </c>
      <c r="I40" s="4" t="s">
        <v>33</v>
      </c>
      <c r="J40" s="4">
        <v>93991788294</v>
      </c>
    </row>
    <row r="41" spans="1:10" s="51" customFormat="1" ht="79.8" customHeight="1" x14ac:dyDescent="0.25">
      <c r="A41" s="4">
        <v>214</v>
      </c>
      <c r="B41" s="4" t="s">
        <v>578</v>
      </c>
      <c r="C41" s="4" t="s">
        <v>548</v>
      </c>
      <c r="D41" s="4" t="s">
        <v>581</v>
      </c>
      <c r="E41" s="6" t="s">
        <v>584</v>
      </c>
      <c r="F41" s="4" t="s">
        <v>33</v>
      </c>
      <c r="G41" s="6" t="s">
        <v>587</v>
      </c>
      <c r="H41" s="4" t="s">
        <v>393</v>
      </c>
      <c r="I41" s="4" t="s">
        <v>33</v>
      </c>
      <c r="J41" s="4">
        <v>93991529656</v>
      </c>
    </row>
    <row r="42" spans="1:10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6"/>
  <sheetViews>
    <sheetView tabSelected="1" workbookViewId="0">
      <pane xSplit="1" ySplit="1" topLeftCell="B39" activePane="bottomRight" state="frozen"/>
      <selection pane="topRight" activeCell="B1" sqref="B1"/>
      <selection pane="bottomLeft" activeCell="A2" sqref="A2"/>
      <selection pane="bottomRight" activeCell="D45" sqref="D45:D46"/>
    </sheetView>
  </sheetViews>
  <sheetFormatPr defaultColWidth="12.6640625" defaultRowHeight="15" customHeight="1" x14ac:dyDescent="0.3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style="53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 x14ac:dyDescent="0.3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 x14ac:dyDescent="0.25">
      <c r="A2" s="71" t="s">
        <v>29</v>
      </c>
      <c r="B2" s="73" t="s">
        <v>50</v>
      </c>
      <c r="C2" s="21">
        <v>20</v>
      </c>
      <c r="D2" s="22" t="s">
        <v>361</v>
      </c>
      <c r="E2" s="19">
        <v>65</v>
      </c>
      <c r="F2" s="19">
        <v>65</v>
      </c>
      <c r="G2" s="69" t="s">
        <v>33</v>
      </c>
      <c r="H2" s="69" t="s">
        <v>247</v>
      </c>
      <c r="I2" s="69" t="s">
        <v>33</v>
      </c>
      <c r="J2" s="69"/>
      <c r="K2" s="69" t="s">
        <v>248</v>
      </c>
      <c r="L2" s="69" t="s">
        <v>249</v>
      </c>
      <c r="M2" s="69" t="s">
        <v>33</v>
      </c>
      <c r="N2" s="69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 x14ac:dyDescent="0.25">
      <c r="A3" s="72"/>
      <c r="B3" s="74"/>
      <c r="C3" s="21">
        <v>10</v>
      </c>
      <c r="D3" s="22" t="s">
        <v>362</v>
      </c>
      <c r="E3" s="19">
        <v>55</v>
      </c>
      <c r="F3" s="19">
        <v>55</v>
      </c>
      <c r="G3" s="70"/>
      <c r="H3" s="70"/>
      <c r="I3" s="70"/>
      <c r="J3" s="70"/>
      <c r="K3" s="70"/>
      <c r="L3" s="70"/>
      <c r="M3" s="70"/>
      <c r="N3" s="70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 x14ac:dyDescent="0.25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 x14ac:dyDescent="0.25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 x14ac:dyDescent="0.25">
      <c r="A6" s="25">
        <v>202</v>
      </c>
      <c r="B6" s="25" t="s">
        <v>50</v>
      </c>
      <c r="C6" s="25">
        <f t="shared" ref="C6:C7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 x14ac:dyDescent="0.25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 x14ac:dyDescent="0.25">
      <c r="A8" s="25">
        <v>202</v>
      </c>
      <c r="B8" s="25" t="s">
        <v>50</v>
      </c>
      <c r="C8" s="25">
        <f>10*1000</f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 x14ac:dyDescent="0.3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 x14ac:dyDescent="0.3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 x14ac:dyDescent="0.3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 x14ac:dyDescent="0.3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 x14ac:dyDescent="0.3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 x14ac:dyDescent="0.25">
      <c r="A14" s="37">
        <v>205</v>
      </c>
      <c r="B14" s="38" t="s">
        <v>262</v>
      </c>
      <c r="C14" s="37">
        <f t="shared" ref="C14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 x14ac:dyDescent="0.25">
      <c r="A15" s="37">
        <v>205</v>
      </c>
      <c r="B15" s="37" t="s">
        <v>265</v>
      </c>
      <c r="C15" s="37">
        <f>AVERAGE(1,2)</f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 x14ac:dyDescent="0.25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 x14ac:dyDescent="0.25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 x14ac:dyDescent="0.25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 x14ac:dyDescent="0.25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 x14ac:dyDescent="0.25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3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 x14ac:dyDescent="0.3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 x14ac:dyDescent="0.3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 x14ac:dyDescent="0.3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 x14ac:dyDescent="0.3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 x14ac:dyDescent="0.3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 x14ac:dyDescent="0.3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 x14ac:dyDescent="0.25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 x14ac:dyDescent="0.25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 x14ac:dyDescent="0.3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 x14ac:dyDescent="0.3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 x14ac:dyDescent="0.3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 x14ac:dyDescent="0.25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s="51" customFormat="1" ht="14.25" customHeight="1" x14ac:dyDescent="0.25">
      <c r="A34" s="4">
        <v>212</v>
      </c>
      <c r="B34" s="4" t="s">
        <v>500</v>
      </c>
      <c r="C34" s="4">
        <v>400</v>
      </c>
      <c r="D34" s="4" t="s">
        <v>247</v>
      </c>
      <c r="E34" s="4">
        <v>1</v>
      </c>
      <c r="F34" s="4">
        <v>1</v>
      </c>
      <c r="G34" s="4"/>
      <c r="H34" s="4" t="s">
        <v>247</v>
      </c>
      <c r="I34" s="4" t="s">
        <v>33</v>
      </c>
      <c r="J34" s="4" t="s">
        <v>33</v>
      </c>
      <c r="K34" s="4" t="s">
        <v>519</v>
      </c>
      <c r="L34" s="55" t="s">
        <v>522</v>
      </c>
      <c r="M34" s="4" t="s">
        <v>523</v>
      </c>
      <c r="N34" s="4"/>
    </row>
    <row r="35" spans="1:14" s="51" customFormat="1" ht="19.2" customHeight="1" x14ac:dyDescent="0.25">
      <c r="A35" s="4">
        <v>212</v>
      </c>
      <c r="B35" s="4" t="s">
        <v>220</v>
      </c>
      <c r="C35" s="4">
        <v>10000</v>
      </c>
      <c r="D35" s="4" t="s">
        <v>247</v>
      </c>
      <c r="E35" s="4" t="s">
        <v>517</v>
      </c>
      <c r="F35" s="4" t="s">
        <v>33</v>
      </c>
      <c r="G35" s="4" t="s">
        <v>33</v>
      </c>
      <c r="H35" s="4" t="s">
        <v>247</v>
      </c>
      <c r="I35" s="4" t="s">
        <v>33</v>
      </c>
      <c r="J35" s="4" t="s">
        <v>33</v>
      </c>
      <c r="K35" s="52" t="s">
        <v>33</v>
      </c>
      <c r="L35" s="57" t="s">
        <v>33</v>
      </c>
      <c r="M35" s="54" t="s">
        <v>33</v>
      </c>
      <c r="N35" s="4"/>
    </row>
    <row r="36" spans="1:14" s="51" customFormat="1" ht="57.6" customHeight="1" x14ac:dyDescent="0.25">
      <c r="A36" s="4">
        <v>212</v>
      </c>
      <c r="B36" s="4" t="s">
        <v>220</v>
      </c>
      <c r="C36" s="4">
        <v>8000</v>
      </c>
      <c r="D36" s="4" t="s">
        <v>247</v>
      </c>
      <c r="E36" s="4">
        <v>1.8</v>
      </c>
      <c r="F36" s="4">
        <v>2</v>
      </c>
      <c r="G36" s="4" t="s">
        <v>33</v>
      </c>
      <c r="H36" s="4" t="s">
        <v>247</v>
      </c>
      <c r="I36" s="4" t="s">
        <v>33</v>
      </c>
      <c r="J36" s="4" t="s">
        <v>33</v>
      </c>
      <c r="K36" s="4" t="s">
        <v>520</v>
      </c>
      <c r="L36" s="56" t="s">
        <v>524</v>
      </c>
      <c r="M36" s="4"/>
      <c r="N36" s="4"/>
    </row>
    <row r="37" spans="1:14" s="51" customFormat="1" ht="14.25" customHeight="1" x14ac:dyDescent="0.25">
      <c r="A37" s="4">
        <v>212</v>
      </c>
      <c r="B37" s="4" t="s">
        <v>518</v>
      </c>
      <c r="C37" s="4">
        <v>100</v>
      </c>
      <c r="D37" s="4" t="s">
        <v>252</v>
      </c>
      <c r="E37" s="4">
        <v>60</v>
      </c>
      <c r="F37" s="4">
        <v>65</v>
      </c>
      <c r="G37" s="4" t="s">
        <v>33</v>
      </c>
      <c r="H37" s="4" t="s">
        <v>252</v>
      </c>
      <c r="I37" s="4" t="s">
        <v>33</v>
      </c>
      <c r="J37" s="4" t="s">
        <v>33</v>
      </c>
      <c r="K37" s="4" t="s">
        <v>519</v>
      </c>
      <c r="L37" s="4" t="s">
        <v>525</v>
      </c>
      <c r="M37" s="4" t="s">
        <v>526</v>
      </c>
      <c r="N37" s="4"/>
    </row>
    <row r="38" spans="1:14" s="51" customFormat="1" ht="14.25" customHeight="1" x14ac:dyDescent="0.25">
      <c r="A38" s="4">
        <v>212</v>
      </c>
      <c r="B38" s="4" t="s">
        <v>224</v>
      </c>
      <c r="C38" s="4">
        <v>20</v>
      </c>
      <c r="D38" s="4" t="s">
        <v>252</v>
      </c>
      <c r="E38" s="4" t="s">
        <v>517</v>
      </c>
      <c r="F38" s="4" t="s">
        <v>33</v>
      </c>
      <c r="G38" s="4" t="s">
        <v>33</v>
      </c>
      <c r="H38" s="4" t="s">
        <v>252</v>
      </c>
      <c r="I38" s="4" t="s">
        <v>33</v>
      </c>
      <c r="J38" s="4" t="s">
        <v>33</v>
      </c>
      <c r="K38" s="4" t="s">
        <v>33</v>
      </c>
      <c r="L38" s="4" t="s">
        <v>33</v>
      </c>
      <c r="M38" s="4" t="s">
        <v>33</v>
      </c>
      <c r="N38" s="4"/>
    </row>
    <row r="39" spans="1:14" s="51" customFormat="1" ht="40.799999999999997" customHeight="1" x14ac:dyDescent="0.25">
      <c r="A39" s="4">
        <v>212</v>
      </c>
      <c r="B39" s="4" t="s">
        <v>217</v>
      </c>
      <c r="C39" s="4">
        <v>300</v>
      </c>
      <c r="D39" s="4" t="s">
        <v>247</v>
      </c>
      <c r="E39" s="4">
        <v>120</v>
      </c>
      <c r="F39" s="4">
        <v>120</v>
      </c>
      <c r="G39" s="4" t="s">
        <v>33</v>
      </c>
      <c r="H39" s="4" t="s">
        <v>247</v>
      </c>
      <c r="I39" s="4" t="s">
        <v>33</v>
      </c>
      <c r="J39" s="4" t="s">
        <v>33</v>
      </c>
      <c r="K39" s="6" t="s">
        <v>521</v>
      </c>
      <c r="L39" s="4" t="s">
        <v>527</v>
      </c>
      <c r="M39" s="6" t="s">
        <v>528</v>
      </c>
      <c r="N39" s="4"/>
    </row>
    <row r="40" spans="1:14" s="51" customFormat="1" ht="14.25" customHeight="1" x14ac:dyDescent="0.25">
      <c r="A40" s="4">
        <v>212</v>
      </c>
      <c r="B40" s="4" t="s">
        <v>217</v>
      </c>
      <c r="C40" s="4">
        <v>30</v>
      </c>
      <c r="D40" s="4" t="s">
        <v>247</v>
      </c>
      <c r="E40" s="4" t="s">
        <v>517</v>
      </c>
      <c r="F40" s="4" t="s">
        <v>33</v>
      </c>
      <c r="G40" s="4" t="s">
        <v>33</v>
      </c>
      <c r="H40" s="4" t="s">
        <v>247</v>
      </c>
      <c r="I40" s="4" t="s">
        <v>33</v>
      </c>
      <c r="J40" s="4" t="s">
        <v>33</v>
      </c>
      <c r="K40" s="4" t="s">
        <v>33</v>
      </c>
      <c r="L40" s="4" t="s">
        <v>33</v>
      </c>
      <c r="M40" s="4" t="s">
        <v>33</v>
      </c>
      <c r="N40" s="4"/>
    </row>
    <row r="41" spans="1:14" s="51" customFormat="1" ht="14.25" customHeight="1" x14ac:dyDescent="0.25">
      <c r="A41" s="4">
        <v>212</v>
      </c>
      <c r="B41" s="4" t="s">
        <v>168</v>
      </c>
      <c r="C41" s="4">
        <v>100</v>
      </c>
      <c r="D41" s="4" t="s">
        <v>252</v>
      </c>
      <c r="E41" s="4">
        <v>40</v>
      </c>
      <c r="F41" s="4">
        <v>40</v>
      </c>
      <c r="G41" s="4" t="s">
        <v>33</v>
      </c>
      <c r="H41" s="4" t="s">
        <v>252</v>
      </c>
      <c r="I41" s="4" t="s">
        <v>33</v>
      </c>
      <c r="J41" s="4" t="s">
        <v>33</v>
      </c>
      <c r="K41" s="4" t="s">
        <v>33</v>
      </c>
      <c r="L41" s="4" t="s">
        <v>33</v>
      </c>
      <c r="M41" s="4" t="s">
        <v>33</v>
      </c>
      <c r="N41" s="4"/>
    </row>
    <row r="42" spans="1:14" s="51" customFormat="1" ht="14.25" customHeight="1" x14ac:dyDescent="0.25">
      <c r="A42" s="4">
        <v>213</v>
      </c>
      <c r="B42" s="4" t="s">
        <v>50</v>
      </c>
      <c r="C42" s="4">
        <f>12500*60</f>
        <v>750000</v>
      </c>
      <c r="D42" s="4" t="s">
        <v>247</v>
      </c>
      <c r="E42" s="4">
        <f>730/2</f>
        <v>365</v>
      </c>
      <c r="F42" s="4">
        <f>1120/2</f>
        <v>560</v>
      </c>
      <c r="G42" s="4" t="s">
        <v>33</v>
      </c>
      <c r="H42" s="4" t="s">
        <v>247</v>
      </c>
      <c r="I42" s="4" t="s">
        <v>33</v>
      </c>
      <c r="J42" s="4" t="s">
        <v>33</v>
      </c>
      <c r="K42" s="4"/>
      <c r="L42" s="4"/>
      <c r="M42" s="4"/>
      <c r="N42" s="4"/>
    </row>
    <row r="43" spans="1:14" s="51" customFormat="1" ht="14.25" customHeight="1" x14ac:dyDescent="0.25">
      <c r="A43" s="4">
        <v>213</v>
      </c>
      <c r="B43" s="4" t="s">
        <v>563</v>
      </c>
      <c r="C43" s="61">
        <v>102000</v>
      </c>
      <c r="D43" s="4" t="s">
        <v>247</v>
      </c>
      <c r="E43" s="4">
        <v>160</v>
      </c>
      <c r="F43" s="4">
        <v>200</v>
      </c>
      <c r="G43" s="4" t="s">
        <v>33</v>
      </c>
      <c r="H43" s="4" t="s">
        <v>247</v>
      </c>
      <c r="I43" s="4" t="s">
        <v>33</v>
      </c>
      <c r="J43" s="4" t="s">
        <v>33</v>
      </c>
      <c r="K43" s="4"/>
      <c r="L43" s="4"/>
      <c r="M43" s="4"/>
      <c r="N43" s="4"/>
    </row>
    <row r="44" spans="1:14" s="51" customFormat="1" ht="14.25" customHeight="1" x14ac:dyDescent="0.25">
      <c r="A44" s="4">
        <v>214</v>
      </c>
      <c r="B44" s="4" t="s">
        <v>168</v>
      </c>
      <c r="C44" s="4">
        <f>15/12</f>
        <v>1.25</v>
      </c>
      <c r="D44" s="4" t="s">
        <v>252</v>
      </c>
      <c r="E44" s="4"/>
      <c r="F44" s="4"/>
      <c r="G44" s="4"/>
      <c r="H44" s="4"/>
      <c r="I44" s="4"/>
      <c r="J44" s="4"/>
      <c r="K44" s="4"/>
      <c r="L44" s="4"/>
      <c r="M44" s="4"/>
      <c r="N44" s="4"/>
    </row>
    <row r="45" spans="1:14" s="51" customFormat="1" ht="14.25" customHeight="1" x14ac:dyDescent="0.25">
      <c r="A45" s="4">
        <v>214</v>
      </c>
      <c r="B45" s="4" t="s">
        <v>278</v>
      </c>
      <c r="C45" s="4">
        <f>45/12</f>
        <v>3.75</v>
      </c>
      <c r="D45" s="4" t="s">
        <v>247</v>
      </c>
      <c r="E45" s="4"/>
      <c r="F45" s="4"/>
      <c r="G45" s="4"/>
      <c r="H45" s="4"/>
      <c r="I45" s="4"/>
      <c r="J45" s="4"/>
      <c r="K45" s="4"/>
      <c r="L45" s="4"/>
      <c r="M45" s="4"/>
      <c r="N45" s="4"/>
    </row>
    <row r="46" spans="1:14" s="51" customFormat="1" ht="14.25" customHeight="1" x14ac:dyDescent="0.25">
      <c r="A46" s="4">
        <v>214</v>
      </c>
      <c r="B46" s="4" t="s">
        <v>50</v>
      </c>
      <c r="C46" s="4">
        <f>300/12</f>
        <v>25</v>
      </c>
      <c r="D46" s="4" t="s">
        <v>247</v>
      </c>
      <c r="E46" s="4"/>
      <c r="F46" s="4"/>
      <c r="G46" s="4"/>
      <c r="H46" s="4"/>
      <c r="I46" s="4"/>
      <c r="J46" s="4"/>
      <c r="K46" s="4"/>
      <c r="L46" s="4"/>
      <c r="M46" s="4"/>
      <c r="N46" s="4"/>
    </row>
    <row r="47" spans="1:14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spans="1:14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spans="1:14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spans="1:14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8"/>
  <sheetViews>
    <sheetView zoomScaleNormal="100" workbookViewId="0">
      <pane xSplit="1" ySplit="1" topLeftCell="B52" activePane="bottomRight" state="frozen"/>
      <selection pane="topRight" activeCell="B1" sqref="B1"/>
      <selection pane="bottomLeft" activeCell="A2" sqref="A2"/>
      <selection pane="bottomRight" activeCell="A55" sqref="A55:XFD55"/>
    </sheetView>
  </sheetViews>
  <sheetFormatPr defaultColWidth="12.6640625" defaultRowHeight="15" customHeight="1" x14ac:dyDescent="0.3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2.88671875" customWidth="1"/>
    <col min="7" max="7" width="13.33203125" customWidth="1"/>
    <col min="8" max="8" width="15.33203125" customWidth="1"/>
    <col min="9" max="9" width="14.5546875" customWidth="1"/>
    <col min="10" max="10" width="12.88671875" customWidth="1"/>
    <col min="11" max="11" width="12.3320312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8.6640625" customWidth="1"/>
    <col min="18" max="26" width="8.6640625" customWidth="1"/>
  </cols>
  <sheetData>
    <row r="1" spans="1:26" ht="71.400000000000006" customHeight="1" x14ac:dyDescent="0.3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5" customHeight="1" x14ac:dyDescent="0.25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 x14ac:dyDescent="0.25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5" customHeight="1" x14ac:dyDescent="0.25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 x14ac:dyDescent="0.25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5" customHeight="1" x14ac:dyDescent="0.25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5" customHeight="1" x14ac:dyDescent="0.25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 x14ac:dyDescent="0.25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 x14ac:dyDescent="0.25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 x14ac:dyDescent="0.3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 x14ac:dyDescent="0.3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 x14ac:dyDescent="0.3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 x14ac:dyDescent="0.3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 x14ac:dyDescent="0.3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 x14ac:dyDescent="0.3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 x14ac:dyDescent="0.3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 x14ac:dyDescent="0.3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 x14ac:dyDescent="0.3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5" customHeight="1" x14ac:dyDescent="0.3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 x14ac:dyDescent="0.3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 x14ac:dyDescent="0.3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 x14ac:dyDescent="0.3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 x14ac:dyDescent="0.3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 x14ac:dyDescent="0.3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 x14ac:dyDescent="0.3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 x14ac:dyDescent="0.3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 x14ac:dyDescent="0.3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 x14ac:dyDescent="0.3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 x14ac:dyDescent="0.3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 x14ac:dyDescent="0.3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5" customHeight="1" x14ac:dyDescent="0.3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 x14ac:dyDescent="0.3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 x14ac:dyDescent="0.3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 x14ac:dyDescent="0.25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 x14ac:dyDescent="0.25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 x14ac:dyDescent="0.25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 x14ac:dyDescent="0.25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 x14ac:dyDescent="0.25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 x14ac:dyDescent="0.25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 x14ac:dyDescent="0.25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48" customFormat="1" ht="14.25" customHeight="1" x14ac:dyDescent="0.3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47">
        <v>1300</v>
      </c>
      <c r="J41" s="34" t="s">
        <v>341</v>
      </c>
      <c r="K41" s="47">
        <v>44</v>
      </c>
      <c r="L41" s="47">
        <v>20</v>
      </c>
      <c r="M41" s="34" t="s">
        <v>341</v>
      </c>
      <c r="N41" s="47"/>
      <c r="O41" s="47"/>
      <c r="P41" s="47"/>
      <c r="Q41" s="47"/>
    </row>
    <row r="42" spans="1:18" ht="14.25" customHeight="1" x14ac:dyDescent="0.3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 x14ac:dyDescent="0.3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2">
        <v>200</v>
      </c>
      <c r="J43" s="49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 x14ac:dyDescent="0.3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2">
        <v>15</v>
      </c>
      <c r="J44" s="49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 x14ac:dyDescent="0.3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31.2" customHeight="1" x14ac:dyDescent="0.3">
      <c r="A46" s="47">
        <v>210</v>
      </c>
      <c r="B46" s="49" t="s">
        <v>168</v>
      </c>
      <c r="C46" s="49" t="s">
        <v>476</v>
      </c>
      <c r="D46" s="58" t="s">
        <v>477</v>
      </c>
      <c r="E46" s="2"/>
      <c r="F46" s="49" t="s">
        <v>485</v>
      </c>
      <c r="G46" s="49" t="s">
        <v>479</v>
      </c>
      <c r="H46" s="49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2" customHeight="1" x14ac:dyDescent="0.25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2" customHeight="1" x14ac:dyDescent="0.25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s="51" customFormat="1" ht="30" customHeight="1" x14ac:dyDescent="0.25">
      <c r="A49" s="4">
        <v>212</v>
      </c>
      <c r="B49" s="4" t="s">
        <v>204</v>
      </c>
      <c r="C49" s="4" t="s">
        <v>529</v>
      </c>
      <c r="D49" s="6" t="s">
        <v>530</v>
      </c>
      <c r="E49" s="4" t="s">
        <v>531</v>
      </c>
      <c r="F49" s="6" t="s">
        <v>532</v>
      </c>
      <c r="G49" s="4" t="s">
        <v>33</v>
      </c>
      <c r="H49" s="4" t="s">
        <v>33</v>
      </c>
      <c r="I49" s="59">
        <f>250/12</f>
        <v>20.833333333333332</v>
      </c>
      <c r="J49" s="4" t="s">
        <v>247</v>
      </c>
      <c r="K49" s="4">
        <v>50</v>
      </c>
      <c r="L49" s="4" t="s">
        <v>533</v>
      </c>
      <c r="M49" s="4" t="s">
        <v>247</v>
      </c>
      <c r="N49" s="4" t="s">
        <v>33</v>
      </c>
      <c r="O49" s="4" t="s">
        <v>33</v>
      </c>
      <c r="P49" s="4" t="s">
        <v>33</v>
      </c>
      <c r="Q49" s="4" t="s">
        <v>33</v>
      </c>
    </row>
    <row r="50" spans="1:17" s="51" customFormat="1" ht="115.2" customHeight="1" x14ac:dyDescent="0.25">
      <c r="A50" s="4">
        <v>212</v>
      </c>
      <c r="B50" s="4" t="s">
        <v>534</v>
      </c>
      <c r="C50" s="4" t="s">
        <v>318</v>
      </c>
      <c r="D50" s="4" t="s">
        <v>315</v>
      </c>
      <c r="E50" s="4" t="s">
        <v>531</v>
      </c>
      <c r="F50" s="6" t="s">
        <v>535</v>
      </c>
      <c r="G50" s="6" t="s">
        <v>536</v>
      </c>
      <c r="H50" s="4" t="s">
        <v>33</v>
      </c>
      <c r="I50" s="59">
        <f>2500/12</f>
        <v>208.33333333333334</v>
      </c>
      <c r="J50" s="4" t="s">
        <v>252</v>
      </c>
      <c r="K50" s="4">
        <f>85/2</f>
        <v>42.5</v>
      </c>
      <c r="L50" s="4" t="s">
        <v>538</v>
      </c>
      <c r="M50" s="4" t="s">
        <v>252</v>
      </c>
      <c r="N50" s="4" t="s">
        <v>33</v>
      </c>
      <c r="O50" s="4" t="s">
        <v>33</v>
      </c>
      <c r="P50" s="4" t="s">
        <v>33</v>
      </c>
      <c r="Q50" s="4" t="s">
        <v>33</v>
      </c>
    </row>
    <row r="51" spans="1:17" s="51" customFormat="1" ht="14.25" customHeight="1" x14ac:dyDescent="0.25">
      <c r="A51" s="4">
        <v>212</v>
      </c>
      <c r="B51" s="4" t="s">
        <v>537</v>
      </c>
      <c r="C51" s="4" t="s">
        <v>318</v>
      </c>
      <c r="D51" s="4" t="s">
        <v>315</v>
      </c>
      <c r="E51" s="4" t="s">
        <v>531</v>
      </c>
      <c r="F51" s="4" t="s">
        <v>33</v>
      </c>
      <c r="G51" s="4" t="s">
        <v>33</v>
      </c>
      <c r="H51" s="4" t="s">
        <v>33</v>
      </c>
      <c r="I51" s="59">
        <f>100/12</f>
        <v>8.3333333333333339</v>
      </c>
      <c r="J51" s="4" t="s">
        <v>252</v>
      </c>
      <c r="K51" s="4">
        <f>170/2</f>
        <v>85</v>
      </c>
      <c r="L51" s="4" t="s">
        <v>539</v>
      </c>
      <c r="M51" s="4" t="s">
        <v>252</v>
      </c>
      <c r="N51" s="4" t="s">
        <v>33</v>
      </c>
      <c r="O51" s="4" t="s">
        <v>33</v>
      </c>
      <c r="P51" s="4" t="s">
        <v>33</v>
      </c>
      <c r="Q51" s="4" t="s">
        <v>33</v>
      </c>
    </row>
    <row r="52" spans="1:17" s="51" customFormat="1" ht="79.8" customHeight="1" x14ac:dyDescent="0.25">
      <c r="A52" s="4">
        <v>212</v>
      </c>
      <c r="B52" s="4" t="s">
        <v>541</v>
      </c>
      <c r="C52" s="4" t="s">
        <v>318</v>
      </c>
      <c r="D52" s="4" t="s">
        <v>315</v>
      </c>
      <c r="E52" s="4" t="s">
        <v>531</v>
      </c>
      <c r="F52" s="4" t="s">
        <v>33</v>
      </c>
      <c r="G52" s="4" t="s">
        <v>33</v>
      </c>
      <c r="H52" s="4" t="s">
        <v>33</v>
      </c>
      <c r="I52" s="59">
        <f>10/12</f>
        <v>0.83333333333333337</v>
      </c>
      <c r="J52" s="4" t="s">
        <v>252</v>
      </c>
      <c r="K52" s="4">
        <v>600</v>
      </c>
      <c r="L52" s="4" t="s">
        <v>540</v>
      </c>
      <c r="M52" s="4" t="s">
        <v>252</v>
      </c>
      <c r="N52" s="4" t="s">
        <v>33</v>
      </c>
      <c r="O52" s="4" t="s">
        <v>33</v>
      </c>
      <c r="P52" s="4" t="s">
        <v>33</v>
      </c>
      <c r="Q52" s="6" t="s">
        <v>543</v>
      </c>
    </row>
    <row r="53" spans="1:17" s="51" customFormat="1" ht="40.200000000000003" customHeight="1" x14ac:dyDescent="0.25">
      <c r="A53" s="4">
        <v>212</v>
      </c>
      <c r="B53" s="4" t="s">
        <v>542</v>
      </c>
      <c r="C53" s="4" t="s">
        <v>347</v>
      </c>
      <c r="D53" s="4" t="s">
        <v>315</v>
      </c>
      <c r="E53" s="4" t="s">
        <v>531</v>
      </c>
      <c r="F53" s="6" t="s">
        <v>544</v>
      </c>
      <c r="G53" s="4" t="s">
        <v>33</v>
      </c>
      <c r="H53" s="4" t="s">
        <v>33</v>
      </c>
      <c r="I53" s="59">
        <f>426/12</f>
        <v>35.5</v>
      </c>
      <c r="J53" s="4" t="s">
        <v>247</v>
      </c>
      <c r="K53" s="4">
        <v>120</v>
      </c>
      <c r="L53" s="4" t="s">
        <v>33</v>
      </c>
      <c r="M53" s="4" t="s">
        <v>247</v>
      </c>
      <c r="N53" s="4" t="s">
        <v>33</v>
      </c>
      <c r="O53" s="4" t="s">
        <v>33</v>
      </c>
      <c r="P53" s="4" t="s">
        <v>33</v>
      </c>
      <c r="Q53" s="4" t="s">
        <v>33</v>
      </c>
    </row>
    <row r="54" spans="1:17" s="51" customFormat="1" ht="14.25" customHeight="1" x14ac:dyDescent="0.25">
      <c r="A54" s="4">
        <v>212</v>
      </c>
      <c r="B54" s="4" t="s">
        <v>168</v>
      </c>
      <c r="C54" s="4" t="s">
        <v>545</v>
      </c>
      <c r="D54" s="4" t="s">
        <v>315</v>
      </c>
      <c r="E54" s="4" t="s">
        <v>531</v>
      </c>
      <c r="F54" s="4" t="s">
        <v>33</v>
      </c>
      <c r="G54" s="4" t="s">
        <v>33</v>
      </c>
      <c r="H54" s="4" t="s">
        <v>33</v>
      </c>
      <c r="I54" s="59">
        <f>100/12</f>
        <v>8.3333333333333339</v>
      </c>
      <c r="J54" s="4" t="s">
        <v>252</v>
      </c>
      <c r="K54" s="4">
        <v>70</v>
      </c>
      <c r="L54" s="4" t="s">
        <v>33</v>
      </c>
      <c r="M54" s="4" t="s">
        <v>252</v>
      </c>
      <c r="N54" s="4" t="s">
        <v>33</v>
      </c>
      <c r="O54" s="4" t="s">
        <v>33</v>
      </c>
      <c r="P54" s="4" t="s">
        <v>33</v>
      </c>
      <c r="Q54" s="4" t="s">
        <v>33</v>
      </c>
    </row>
    <row r="55" spans="1:17" s="51" customFormat="1" ht="14.25" customHeight="1" x14ac:dyDescent="0.25">
      <c r="A55" s="4">
        <v>213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2026-08-11T23:12:49Z</dcterms:modified>
</cp:coreProperties>
</file>