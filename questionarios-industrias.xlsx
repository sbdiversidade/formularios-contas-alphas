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tos de colaboracao\formularios-contas-alphas\"/>
    </mc:Choice>
  </mc:AlternateContent>
  <xr:revisionPtr revIDLastSave="0" documentId="13_ncr:1_{31C90516-6064-4557-807F-9FC1696DD0C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K48" i="4" l="1"/>
  <c r="I48" i="4"/>
  <c r="K47" i="4"/>
  <c r="I47" i="4"/>
  <c r="F33" i="3"/>
  <c r="E33" i="3"/>
  <c r="C33" i="3"/>
  <c r="F28" i="3"/>
  <c r="E28" i="3"/>
  <c r="G17" i="3"/>
  <c r="C17" i="3"/>
  <c r="G15" i="3"/>
  <c r="C15" i="3"/>
  <c r="G14" i="3"/>
  <c r="C14" i="3"/>
  <c r="F29" i="3"/>
  <c r="E29" i="3"/>
  <c r="Q9" i="4"/>
  <c r="Q8" i="4"/>
  <c r="Q7" i="4"/>
  <c r="Q6" i="4"/>
  <c r="Q5" i="4"/>
  <c r="F8" i="3"/>
  <c r="E8" i="3"/>
  <c r="C8" i="3"/>
  <c r="F7" i="3"/>
  <c r="E7" i="3"/>
  <c r="C7" i="3"/>
  <c r="F6" i="3"/>
  <c r="E6" i="3"/>
  <c r="C6" i="3"/>
  <c r="F5" i="3"/>
  <c r="E5" i="3"/>
  <c r="C5" i="3"/>
  <c r="F4" i="3"/>
  <c r="E4" i="3"/>
  <c r="C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<sst xmlns="http://schemas.openxmlformats.org/spreadsheetml/2006/main" count="1375" uniqueCount="486">
  <si>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</si>
  <si>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</si>
  <si>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</si>
  <si>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</si>
  <si>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</si>
  <si>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</si>
  <si>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</si>
  <si>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</si>
  <si>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</si>
  <si>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</si>
  <si>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</si>
  <si>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</si>
  <si>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</si>
  <si>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</si>
  <si>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</si>
  <si>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</si>
  <si>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</si>
  <si>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</si>
  <si>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</si>
  <si>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</si>
  <si>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</si>
  <si>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</si>
  <si>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</si>
  <si>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</si>
  <si>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</si>
  <si>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</si>
  <si>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</si>
  <si>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</si>
  <si>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</si>
  <si>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</si>
  <si>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</si>
  <si>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</si>
  <si>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</si>
  <si>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</si>
  <si>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</si>
  <si>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</si>
  <si>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</si>
  <si>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</si>
  <si>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</si>
  <si>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</si>
  <si>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</si>
  <si>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</si>
  <si>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</si>
  <si>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</si>
  <si>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</si>
  <si>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</si>
  <si>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</si>
  <si>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</si>
  <si>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</si>
  <si>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</si>
  <si>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</si>
  <si>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</si>
  <si>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</si>
  <si>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</si>
  <si>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</si>
  <si>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</si>
  <si>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</si>
  <si>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</si>
  <si>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</si>
  <si>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</si>
  <si>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</si>
  <si>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</si>
  <si>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</si>
  <si>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</si>
  <si>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</si>
  <si>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</si>
  <si>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</si>
  <si>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</si>
  <si>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</si>
  <si>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</si>
  <si>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</si>
  <si>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</si>
  <si>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</si>
  <si>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</si>
  <si>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</si>
  <si>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</si>
  <si>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</si>
  <si>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</si>
  <si>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</si>
  <si>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</si>
  <si>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</si>
  <si>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</si>
  <si>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</si>
  <si>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</si>
  <si>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</si>
  <si>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</si>
  <si>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</si>
  <si>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</si>
  <si>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</si>
  <si>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</si>
  <si>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</si>
  <si>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</si>
  <si>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</si>
  <si>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</si>
  <si>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</si>
  <si>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</si>
  <si>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</si>
  <si>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</si>
  <si>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</si>
  <si>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</si>
  <si>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</si>
  <si>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</si>
  <si>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</si>
  <si>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</si>
  <si>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</si>
  <si>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</si>
  <si>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</si>
  <si>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</si>
  <si>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</si>
  <si>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</si>
  <si>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</si>
  <si>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</si>
  <si>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</si>
  <si>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</si>
  <si>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</si>
  <si>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</si>
  <si>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</si>
  <si>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</si>
  <si>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</si>
  <si>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</si>
  <si>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</si>
  <si>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</si>
  <si>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</si>
  <si>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</si>
  <si>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</si>
  <si>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</si>
  <si>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</si>
  <si>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</si>
  <si>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</si>
  <si>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</si>
  <si>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</si>
  <si>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</si>
  <si>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</si>
  <si>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</si>
  <si>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</si>
  <si>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</si>
  <si>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</si>
  <si>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</si>
  <si>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</si>
  <si>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</si>
  <si>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</si>
  <si>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</si>
  <si>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</si>
  <si>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</si>
  <si>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</si>
  <si>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</si>
  <si>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</si>
  <si>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</si>
  <si>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</si>
  <si>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</si>
  <si>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</si>
  <si>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</si>
  <si>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</si>
  <si>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</si>
  <si>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</si>
  <si>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</si>
  <si>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</si>
  <si>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</si>
  <si>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</si>
  <si>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</si>
  <si>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</si>
  <si>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</si>
  <si>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</si>
  <si>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</si>
  <si>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</si>
  <si>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</si>
  <si>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</si>
  <si>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</si>
  <si>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</si>
  <si>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</si>
  <si>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</si>
  <si>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</si>
  <si>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</si>
  <si>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</si>
  <si>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</si>
  <si>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</si>
  <si>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</si>
  <si>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</si>
  <si>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</si>
  <si>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</si>
  <si>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</si>
  <si>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</si>
  <si>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</si>
  <si>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</si>
  <si>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</si>
  <si>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</si>
  <si>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</si>
  <si>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</si>
  <si>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</si>
  <si>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</si>
  <si>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</si>
  <si>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</si>
  <si>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</si>
  <si>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</si>
  <si>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</si>
  <si>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</si>
  <si>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</si>
  <si>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</si>
  <si>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</si>
  <si>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</si>
  <si>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</si>
  <si>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</si>
  <si>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</si>
  <si>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</si>
  <si>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</si>
  <si>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</si>
  <si>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</si>
  <si>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</si>
  <si>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</si>
  <si>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</si>
  <si>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</si>
  <si>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</si>
  <si>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</si>
  <si>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</si>
  <si>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</si>
  <si>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</si>
  <si>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</si>
  <si>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</si>
  <si>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</si>
  <si>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</si>
  <si>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</si>
  <si>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</si>
  <si>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</si>
  <si>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</si>
  <si>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</si>
  <si>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</si>
  <si>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</si>
  <si>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</si>
  <si>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</si>
  <si>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</si>
  <si>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</si>
  <si>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</si>
  <si>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</si>
  <si>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</si>
  <si>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</si>
  <si>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</si>
  <si>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</si>
  <si>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</si>
  <si>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</si>
  <si>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</si>
  <si>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</si>
  <si>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</si>
  <si>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</si>
  <si>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</si>
  <si>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</si>
  <si>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</si>
  <si>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</si>
  <si>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</si>
  <si>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</si>
  <si>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</si>
  <si>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</si>
  <si>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</si>
  <si>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</si>
  <si>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</si>
  <si>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</si>
  <si>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</si>
  <si>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</si>
  <si>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</si>
  <si>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</si>
  <si>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</si>
  <si>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</si>
  <si>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</si>
  <si>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</si>
  <si>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</si>
  <si>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</si>
  <si>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</si>
  <si>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</si>
  <si>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</si>
  <si>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</si>
  <si>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</si>
  <si>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</si>
  <si>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</si>
  <si>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</si>
  <si>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</si>
  <si>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</si>
  <si>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</si>
  <si>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</si>
  <si>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</si>
  <si>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</si>
  <si>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</si>
  <si>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</si>
  <si>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</si>
  <si>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</si>
  <si>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</si>
  <si>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</si>
  <si>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</si>
  <si>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</si>
  <si>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</si>
  <si>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</si>
  <si>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</si>
  <si>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</si>
  <si>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</si>
  <si>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</si>
  <si>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</si>
  <si>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</si>
  <si>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</si>
  <si>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</si>
  <si>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</si>
  <si>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</si>
  <si>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</si>
  <si>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</si>
  <si>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</si>
  <si>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</si>
  <si>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</si>
  <si>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</si>
  <si>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</si>
  <si>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</si>
  <si>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</si>
  <si>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</si>
  <si>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</si>
  <si>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</si>
  <si>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</si>
  <si>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</si>
  <si>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</si>
  <si>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</si>
  <si>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</si>
  <si>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</si>
  <si>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</si>
  <si>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</si>
  <si>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</si>
  <si>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</si>
  <si>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</si>
  <si>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</si>
  <si>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</si>
  <si>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</si>
  <si>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</si>
  <si>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</si>
  <si>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</si>
  <si>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</si>
  <si>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</si>
  <si>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</si>
  <si>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</si>
  <si>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</si>
  <si>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</si>
  <si>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</si>
  <si>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</si>
  <si>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</si>
  <si>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</si>
  <si>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</si>
  <si>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</si>
  <si>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</si>
  <si>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</si>
  <si>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</si>
  <si>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</si>
  <si>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</si>
  <si>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</si>
  <si>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</si>
  <si>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</si>
  <si>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</si>
  <si>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</si>
  <si>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</si>
  <si>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</si>
  <si>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</si>
  <si>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</si>
  <si>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</si>
  <si>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</si>
  <si>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</si>
  <si>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</si>
  <si>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</si>
  <si>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</si>
  <si>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</si>
  <si>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</si>
  <si>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</si>
  <si>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</si>
  <si>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</si>
  <si>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</si>
  <si>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</si>
  <si>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</si>
  <si>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</si>
  <si>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</si>
  <si>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</si>
  <si>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</si>
  <si>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</si>
  <si>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</si>
  <si>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</si>
  <si>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</si>
  <si>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</si>
  <si>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</si>
  <si>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</si>
  <si>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</si>
  <si>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</si>
  <si>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</si>
  <si>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</si>
  <si>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</si>
  <si>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</si>
  <si>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</si>
  <si>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</si>
  <si>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</si>
  <si>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</si>
  <si>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</si>
  <si>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</si>
  <si>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</si>
  <si>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</si>
  <si>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</si>
  <si>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</si>
  <si>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</si>
  <si>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</si>
  <si>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</si>
  <si>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</si>
  <si>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</si>
  <si>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</si>
  <si>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</si>
  <si>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</si>
  <si>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</si>
  <si>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</si>
  <si>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</si>
  <si>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</si>
  <si>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</si>
  <si>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</si>
  <si>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</si>
  <si>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</si>
  <si>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</si>
  <si>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</si>
  <si>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</si>
  <si>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</si>
  <si>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</si>
  <si>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</si>
  <si>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</si>
  <si>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</si>
  <si>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</si>
  <si>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</si>
  <si>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</si>
  <si>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</si>
  <si>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</si>
  <si>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</si>
  <si>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</si>
  <si>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</si>
  <si>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</si>
  <si>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</si>
  <si>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</si>
  <si>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</si>
  <si>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</si>
  <si>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</si>
  <si>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</si>
  <si>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</si>
  <si>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</si>
  <si>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</si>
  <si>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</si>
  <si>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</si>
  <si>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</si>
  <si>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</si>
  <si>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</si>
  <si>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</si>
  <si>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</si>
  <si>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</si>
  <si>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</si>
  <si>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</si>
  <si>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</si>
  <si>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</si>
  <si>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</si>
  <si>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</si>
  <si>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</si>
  <si>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</si>
  <si>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</si>
  <si>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</si>
  <si>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</si>
  <si>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</si>
  <si>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</si>
  <si>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</si>
  <si>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sim</t>
  </si>
  <si>
    <t>Embalagens veem de Sp</t>
  </si>
  <si>
    <t>Ambos</t>
  </si>
  <si>
    <t>Diverso; Fundo Amazônia</t>
  </si>
  <si>
    <t>pajurá; limmão tuba; brinco de moças; jenipapo; fanzenda boa safra; ronda; poço branco do ituquí; uruará</t>
  </si>
  <si>
    <t>mel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</si>
  <si>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</si>
  <si>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</si>
  <si>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entregue no ecocentro</t>
  </si>
  <si>
    <t>andiroba seca</t>
  </si>
  <si>
    <t>46 kg</t>
  </si>
  <si>
    <t>60 L</t>
  </si>
  <si>
    <t>próprio</t>
  </si>
  <si>
    <t>6/kg</t>
  </si>
  <si>
    <t>óleo</t>
  </si>
  <si>
    <t>NATURA</t>
  </si>
  <si>
    <t>medicinal; Cosmético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</si>
  <si>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</si>
  <si>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</si>
  <si>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</si>
  <si>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</si>
  <si>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</si>
  <si>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</si>
  <si>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</si>
  <si>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</si>
  <si>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2 anos</t>
  </si>
  <si>
    <t>Jambú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</si>
</sst>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rial"/>
    </font>
    <font>
      <b/>
      <i/>
      <sz val="11"/>
      <color theme="1"/>
      <name val="Aptos Narrow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  <fill>
      <patternFill patternType="solid">
        <fgColor rgb="FFC0000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  <xf numFmtId="0" fontId="0" fillId="7" borderId="0" xfId="0" applyFill="1"/>
    <xf numFmtId="0" fontId="8" fillId="0" borderId="4" xfId="0" applyFont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xSplit="7" ySplit="2" topLeftCell="H7" activePane="bottomRight" state="frozen"/>
      <selection pane="topRight" activeCell="H1" sqref="H1"/>
      <selection pane="bottomLeft" activeCell="A3" sqref="A3"/>
      <selection pane="bottomRight" activeCell="A12" sqref="A12:XFD12"/>
    </sheetView>
  </sheetViews>
  <sheetFormatPr defaultColWidth="12.7109375" defaultRowHeight="15" customHeight="1"/>
  <cols>
    <col min="1" max="1" width="11.85546875" customWidth="1"/>
    <col min="2" max="2" width="12.85546875" customWidth="1"/>
    <col min="3" max="3" width="18.140625" customWidth="1"/>
    <col min="4" max="4" width="15.140625" customWidth="1"/>
    <col min="5" max="5" width="20.7109375" customWidth="1"/>
    <col min="6" max="6" width="14.42578125" customWidth="1"/>
    <col min="7" max="7" width="12.7109375" customWidth="1"/>
    <col min="8" max="8" width="26.7109375" customWidth="1"/>
    <col min="9" max="9" width="26.5703125" customWidth="1"/>
    <col min="10" max="10" width="18.28515625" customWidth="1"/>
    <col min="11" max="11" width="17.5703125" customWidth="1"/>
    <col min="12" max="12" width="21.7109375" customWidth="1"/>
    <col min="13" max="15" width="17.140625" customWidth="1"/>
    <col min="16" max="16" width="15.28515625" customWidth="1"/>
    <col min="17" max="17" width="12" customWidth="1"/>
    <col min="18" max="18" width="8.7109375" customWidth="1"/>
    <col min="19" max="19" width="15.7109375" customWidth="1"/>
    <col min="20" max="20" width="20" customWidth="1"/>
    <col min="21" max="22" width="16.140625" customWidth="1"/>
    <col min="23" max="25" width="16.42578125" customWidth="1"/>
    <col min="26" max="26" width="22.42578125" customWidth="1"/>
  </cols>
  <sheetData>
    <row r="1" spans="1:26" ht="14.25" customHeight="1">
      <c r="A1" s="47" t="s">
        <v>0</v>
      </c>
      <c r="B1" s="48"/>
      <c r="C1" s="48"/>
      <c r="D1" s="48"/>
      <c r="E1" s="48"/>
      <c r="F1" s="48"/>
      <c r="G1" s="49"/>
      <c r="H1" s="50" t="s">
        <v>1</v>
      </c>
      <c r="I1" s="51"/>
      <c r="J1" s="51"/>
      <c r="K1" s="52"/>
      <c r="L1" s="50" t="s">
        <v>2</v>
      </c>
      <c r="M1" s="51"/>
      <c r="N1" s="51"/>
      <c r="O1" s="52"/>
      <c r="P1" s="50" t="s">
        <v>3</v>
      </c>
      <c r="Q1" s="51"/>
      <c r="R1" s="51"/>
      <c r="S1" s="51"/>
      <c r="T1" s="52"/>
      <c r="U1" s="53" t="s">
        <v>4</v>
      </c>
      <c r="V1" s="51"/>
      <c r="W1" s="51"/>
      <c r="X1" s="51"/>
      <c r="Y1" s="51"/>
      <c r="Z1" s="52"/>
    </row>
    <row r="2" spans="1:26" ht="54.6" customHeight="1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6" s="20" customFormat="1" ht="67.5" customHeight="1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6" s="20" customFormat="1" ht="73.150000000000006" customHeight="1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6" ht="14.25" customHeight="1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6" ht="14.25" customHeight="1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6" ht="137.44999999999999" customHeight="1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6" ht="14.25" customHeight="1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6" ht="14.25" customHeight="1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6" ht="86.45" customHeight="1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6" s="20" customFormat="1" ht="97.15" customHeight="1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6" s="15" customFormat="1" ht="14.25" customHeight="1">
      <c r="A12" s="24">
        <v>210</v>
      </c>
      <c r="B12" s="24" t="s">
        <v>451</v>
      </c>
      <c r="C12" s="24" t="s">
        <v>452</v>
      </c>
      <c r="D12" s="24" t="s">
        <v>453</v>
      </c>
      <c r="E12" s="24" t="s">
        <v>454</v>
      </c>
      <c r="F12" s="24"/>
      <c r="G12" s="24" t="s">
        <v>455</v>
      </c>
      <c r="H12" s="24" t="s">
        <v>456</v>
      </c>
      <c r="I12" s="24"/>
      <c r="J12" s="24" t="s">
        <v>457</v>
      </c>
      <c r="K12" s="24" t="s">
        <v>458</v>
      </c>
      <c r="L12" s="24"/>
      <c r="M12" s="24"/>
      <c r="N12" s="24" t="s">
        <v>39</v>
      </c>
      <c r="O12" s="24" t="s">
        <v>459</v>
      </c>
      <c r="P12" s="24"/>
      <c r="Q12" s="24" t="s">
        <v>71</v>
      </c>
      <c r="R12" s="24"/>
      <c r="S12" s="24" t="s">
        <v>460</v>
      </c>
      <c r="T12" s="24"/>
      <c r="U12" s="24">
        <v>12</v>
      </c>
      <c r="V12" s="24"/>
      <c r="W12" s="24" t="s">
        <v>461</v>
      </c>
      <c r="X12" s="24" t="s">
        <v>459</v>
      </c>
      <c r="Y12" s="24"/>
      <c r="Z12" s="24" t="s">
        <v>462</v>
      </c>
    </row>
    <row r="13" spans="1:26" s="20" customFormat="1" ht="79.900000000000006" customHeight="1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6" ht="14.2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pane xSplit="1" ySplit="1" topLeftCell="B18" activePane="bottomRight" state="frozen"/>
      <selection pane="topRight" activeCell="B1" sqref="B1"/>
      <selection pane="bottomLeft" activeCell="A2" sqref="A2"/>
      <selection pane="bottomRight" activeCell="A29" sqref="A29:XFD29"/>
    </sheetView>
  </sheetViews>
  <sheetFormatPr defaultColWidth="12.7109375" defaultRowHeight="15" customHeight="1"/>
  <cols>
    <col min="1" max="1" width="12" customWidth="1"/>
    <col min="2" max="2" width="20.7109375" customWidth="1"/>
    <col min="3" max="3" width="18.140625" customWidth="1"/>
    <col min="4" max="4" width="18.28515625" customWidth="1"/>
    <col min="5" max="5" width="14.85546875" customWidth="1"/>
    <col min="6" max="6" width="14.42578125" customWidth="1"/>
    <col min="7" max="7" width="18.7109375" customWidth="1"/>
    <col min="8" max="8" width="15.42578125" customWidth="1"/>
    <col min="9" max="9" width="14.28515625" customWidth="1"/>
    <col min="10" max="10" width="24" customWidth="1"/>
    <col min="11" max="26" width="8.7109375" customWidth="1"/>
  </cols>
  <sheetData>
    <row r="1" spans="1:26" ht="83.45" customHeight="1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15" customHeight="1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61" customFormat="1" ht="14.25" customHeight="1">
      <c r="A29" s="60">
        <v>210</v>
      </c>
      <c r="B29" s="34" t="s">
        <v>281</v>
      </c>
      <c r="C29" s="34" t="s">
        <v>463</v>
      </c>
      <c r="D29" s="34" t="s">
        <v>164</v>
      </c>
      <c r="E29" s="34" t="s">
        <v>211</v>
      </c>
      <c r="F29" s="60"/>
      <c r="G29" s="34" t="s">
        <v>71</v>
      </c>
      <c r="H29" s="60"/>
      <c r="I29" s="60"/>
      <c r="J29" s="60"/>
    </row>
    <row r="30" spans="1:10" ht="14.25" customHeight="1">
      <c r="A30" s="60">
        <v>210</v>
      </c>
      <c r="B30" s="62" t="s">
        <v>464</v>
      </c>
      <c r="C30" s="62" t="s">
        <v>465</v>
      </c>
      <c r="D30" s="62" t="s">
        <v>164</v>
      </c>
      <c r="E30" s="2"/>
      <c r="F30" s="2"/>
      <c r="G30" s="62" t="s">
        <v>170</v>
      </c>
      <c r="H30" s="2"/>
      <c r="I30" s="2"/>
      <c r="J30" s="2"/>
    </row>
    <row r="31" spans="1:10" s="20" customFormat="1" ht="100.15" customHeight="1">
      <c r="A31" s="25">
        <v>211</v>
      </c>
      <c r="B31" s="37" t="s">
        <v>50</v>
      </c>
      <c r="C31" s="28" t="s">
        <v>447</v>
      </c>
      <c r="D31" s="25" t="s">
        <v>33</v>
      </c>
      <c r="E31" s="25" t="s">
        <v>33</v>
      </c>
      <c r="F31" s="25" t="s">
        <v>33</v>
      </c>
      <c r="G31" s="25" t="s">
        <v>33</v>
      </c>
      <c r="H31" s="25" t="s">
        <v>33</v>
      </c>
      <c r="I31" s="25" t="s">
        <v>33</v>
      </c>
      <c r="J31" s="25" t="s">
        <v>33</v>
      </c>
    </row>
    <row r="32" spans="1:10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3"/>
  <sheetViews>
    <sheetView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defaultColWidth="12.7109375" defaultRowHeight="15" customHeight="1"/>
  <cols>
    <col min="1" max="1" width="12" customWidth="1"/>
    <col min="2" max="2" width="20" customWidth="1"/>
    <col min="3" max="3" width="13.85546875" customWidth="1"/>
    <col min="4" max="4" width="16.42578125" customWidth="1"/>
    <col min="5" max="6" width="12.42578125" customWidth="1"/>
    <col min="7" max="8" width="17.28515625" customWidth="1"/>
    <col min="9" max="10" width="12.28515625" customWidth="1"/>
    <col min="11" max="11" width="22.7109375" customWidth="1"/>
    <col min="12" max="12" width="21.5703125" customWidth="1"/>
    <col min="13" max="13" width="21.7109375" customWidth="1"/>
    <col min="14" max="14" width="22.85546875" customWidth="1"/>
    <col min="15" max="26" width="8.7109375" customWidth="1"/>
  </cols>
  <sheetData>
    <row r="1" spans="1:26" ht="58.9" customHeight="1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>
      <c r="A2" s="56" t="s">
        <v>29</v>
      </c>
      <c r="B2" s="58" t="s">
        <v>50</v>
      </c>
      <c r="C2" s="21">
        <v>20</v>
      </c>
      <c r="D2" s="22" t="s">
        <v>361</v>
      </c>
      <c r="E2" s="19">
        <v>65</v>
      </c>
      <c r="F2" s="19">
        <v>65</v>
      </c>
      <c r="G2" s="54" t="s">
        <v>33</v>
      </c>
      <c r="H2" s="54" t="s">
        <v>247</v>
      </c>
      <c r="I2" s="54" t="s">
        <v>33</v>
      </c>
      <c r="J2" s="54"/>
      <c r="K2" s="54" t="s">
        <v>248</v>
      </c>
      <c r="L2" s="54" t="s">
        <v>249</v>
      </c>
      <c r="M2" s="54" t="s">
        <v>33</v>
      </c>
      <c r="N2" s="54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>
      <c r="A3" s="57"/>
      <c r="B3" s="59"/>
      <c r="C3" s="21">
        <v>10</v>
      </c>
      <c r="D3" s="22" t="s">
        <v>362</v>
      </c>
      <c r="E3" s="19">
        <v>55</v>
      </c>
      <c r="F3" s="19">
        <v>55</v>
      </c>
      <c r="G3" s="55"/>
      <c r="H3" s="55"/>
      <c r="I3" s="55"/>
      <c r="J3" s="55"/>
      <c r="K3" s="55"/>
      <c r="L3" s="55"/>
      <c r="M3" s="55"/>
      <c r="N3" s="55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>
      <c r="A6" s="25">
        <v>202</v>
      </c>
      <c r="B6" s="25" t="s">
        <v>50</v>
      </c>
      <c r="C6" s="25">
        <f t="shared" ref="C6:C8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>
      <c r="A8" s="25">
        <v>202</v>
      </c>
      <c r="B8" s="25" t="s">
        <v>50</v>
      </c>
      <c r="C8" s="25">
        <f t="shared" si="2"/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15" customHeight="1">
      <c r="A14" s="37">
        <v>205</v>
      </c>
      <c r="B14" s="38" t="s">
        <v>262</v>
      </c>
      <c r="C14" s="37">
        <f t="shared" ref="C14:C15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>
      <c r="A15" s="37">
        <v>205</v>
      </c>
      <c r="B15" s="37" t="s">
        <v>265</v>
      </c>
      <c r="C15" s="37">
        <f t="shared" si="3"/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50000000000003" customHeight="1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50000000000003" customHeight="1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15" customHeight="1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15" customHeight="1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15" customHeight="1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61" customFormat="1" ht="14.25" customHeight="1">
      <c r="A30" s="60">
        <v>210</v>
      </c>
      <c r="B30" s="34" t="s">
        <v>466</v>
      </c>
      <c r="C30" s="60">
        <v>11.5</v>
      </c>
      <c r="D30" s="34" t="s">
        <v>341</v>
      </c>
      <c r="E30" s="60">
        <v>2</v>
      </c>
      <c r="F30" s="60"/>
      <c r="G30" s="60"/>
      <c r="H30" s="60"/>
      <c r="I30" s="60"/>
      <c r="J30" s="60"/>
      <c r="K30" s="34" t="s">
        <v>467</v>
      </c>
      <c r="L30" s="34" t="s">
        <v>276</v>
      </c>
      <c r="M30" s="60"/>
      <c r="N30" s="60"/>
    </row>
    <row r="31" spans="1:26" s="61" customFormat="1" ht="14.25" customHeight="1">
      <c r="A31" s="60">
        <v>210</v>
      </c>
      <c r="B31" s="34" t="s">
        <v>468</v>
      </c>
      <c r="C31" s="60">
        <v>11.5</v>
      </c>
      <c r="D31" s="34" t="s">
        <v>341</v>
      </c>
      <c r="E31" s="60">
        <v>3.5</v>
      </c>
      <c r="F31" s="60"/>
      <c r="G31" s="60"/>
      <c r="H31" s="60"/>
      <c r="I31" s="60"/>
      <c r="J31" s="60"/>
      <c r="K31" s="34" t="s">
        <v>467</v>
      </c>
      <c r="L31" s="34"/>
      <c r="M31" s="60"/>
      <c r="N31" s="60"/>
    </row>
    <row r="32" spans="1:26" ht="14.25" customHeight="1">
      <c r="A32" s="60">
        <v>210</v>
      </c>
      <c r="B32" s="62" t="s">
        <v>464</v>
      </c>
      <c r="C32" s="2">
        <v>380</v>
      </c>
      <c r="D32" s="62" t="s">
        <v>341</v>
      </c>
      <c r="E32" s="63" t="s">
        <v>469</v>
      </c>
      <c r="F32" s="63" t="s">
        <v>470</v>
      </c>
      <c r="G32" s="2"/>
      <c r="H32" s="2"/>
      <c r="I32" s="2"/>
      <c r="J32" s="2"/>
      <c r="K32" s="34" t="s">
        <v>467</v>
      </c>
      <c r="L32" s="34" t="s">
        <v>471</v>
      </c>
      <c r="M32" s="62" t="s">
        <v>472</v>
      </c>
      <c r="N32" s="62" t="s">
        <v>396</v>
      </c>
    </row>
    <row r="33" spans="1:14" s="20" customFormat="1" ht="14.25" customHeight="1">
      <c r="A33" s="46">
        <v>211</v>
      </c>
      <c r="B33" s="25" t="s">
        <v>50</v>
      </c>
      <c r="C33" s="25">
        <f>13000*60</f>
        <v>780000</v>
      </c>
      <c r="D33" s="25" t="s">
        <v>247</v>
      </c>
      <c r="E33" s="25">
        <f>300/60</f>
        <v>5</v>
      </c>
      <c r="F33" s="32">
        <f>500/60</f>
        <v>8.3333333333333339</v>
      </c>
      <c r="G33" s="25" t="s">
        <v>33</v>
      </c>
      <c r="H33" s="25" t="s">
        <v>33</v>
      </c>
      <c r="I33" s="25" t="s">
        <v>33</v>
      </c>
      <c r="J33" s="25" t="s">
        <v>33</v>
      </c>
      <c r="K33" s="25" t="s">
        <v>33</v>
      </c>
      <c r="L33" s="25"/>
      <c r="M33" s="25"/>
      <c r="N33" s="25"/>
    </row>
    <row r="34" spans="1:1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spans="1:14" ht="14.2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spans="1:14" ht="14.2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8"/>
  <sheetViews>
    <sheetView tabSelected="1" zoomScaleNormal="100"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A41" sqref="A41:XFD46"/>
    </sheetView>
  </sheetViews>
  <sheetFormatPr defaultColWidth="12.7109375" defaultRowHeight="15" customHeight="1"/>
  <cols>
    <col min="1" max="1" width="12" customWidth="1"/>
    <col min="2" max="2" width="26.7109375" customWidth="1"/>
    <col min="3" max="3" width="19.7109375" customWidth="1"/>
    <col min="4" max="4" width="13.140625" customWidth="1"/>
    <col min="5" max="5" width="12.42578125" customWidth="1"/>
    <col min="6" max="6" width="22.85546875" customWidth="1"/>
    <col min="7" max="7" width="13.28515625" customWidth="1"/>
    <col min="8" max="8" width="15.28515625" customWidth="1"/>
    <col min="9" max="9" width="14.5703125" customWidth="1"/>
    <col min="10" max="10" width="12.85546875" customWidth="1"/>
    <col min="11" max="11" width="12.28515625" customWidth="1"/>
    <col min="12" max="12" width="28.7109375" customWidth="1"/>
    <col min="13" max="13" width="16.7109375" customWidth="1"/>
    <col min="14" max="14" width="12.42578125" customWidth="1"/>
    <col min="15" max="15" width="18.42578125" customWidth="1"/>
    <col min="16" max="16" width="15.85546875" customWidth="1"/>
    <col min="17" max="17" width="13.28515625" customWidth="1"/>
    <col min="18" max="26" width="8.7109375" customWidth="1"/>
  </cols>
  <sheetData>
    <row r="1" spans="1:26" ht="71.45" customHeight="1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0" customFormat="1" ht="46.9" customHeight="1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>
        <v>40</v>
      </c>
      <c r="J2" s="19" t="s">
        <v>305</v>
      </c>
      <c r="K2" s="19">
        <v>28</v>
      </c>
      <c r="L2" s="19" t="s">
        <v>33</v>
      </c>
      <c r="M2" s="19" t="s">
        <v>363</v>
      </c>
      <c r="N2" s="19" t="s">
        <v>33</v>
      </c>
      <c r="O2" s="19" t="s">
        <v>364</v>
      </c>
      <c r="P2" s="19" t="s">
        <v>365</v>
      </c>
      <c r="Q2" s="19" t="s">
        <v>33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45.6" customHeight="1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>
        <v>140</v>
      </c>
      <c r="J3" s="19" t="s">
        <v>305</v>
      </c>
      <c r="K3" s="19">
        <v>18.489999999999998</v>
      </c>
      <c r="L3" s="19" t="s">
        <v>33</v>
      </c>
      <c r="M3" s="19" t="s">
        <v>363</v>
      </c>
      <c r="N3" s="19" t="s">
        <v>33</v>
      </c>
      <c r="O3" s="19" t="s">
        <v>364</v>
      </c>
      <c r="P3" s="19" t="s">
        <v>365</v>
      </c>
      <c r="Q3" s="19" t="s">
        <v>33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43.9" customHeight="1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>
        <v>20</v>
      </c>
      <c r="J4" s="19" t="s">
        <v>305</v>
      </c>
      <c r="K4" s="19">
        <v>28</v>
      </c>
      <c r="L4" s="19" t="s">
        <v>33</v>
      </c>
      <c r="M4" s="19" t="s">
        <v>363</v>
      </c>
      <c r="N4" s="19" t="s">
        <v>33</v>
      </c>
      <c r="O4" s="19" t="s">
        <v>364</v>
      </c>
      <c r="P4" s="19" t="s">
        <v>365</v>
      </c>
      <c r="Q4" s="19" t="s">
        <v>33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s="20" customFormat="1" ht="42" customHeight="1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>
        <v>300</v>
      </c>
      <c r="J5" s="25" t="s">
        <v>314</v>
      </c>
      <c r="K5" s="25">
        <v>140</v>
      </c>
      <c r="L5" s="28">
        <v>0.6</v>
      </c>
      <c r="M5" s="25" t="s">
        <v>370</v>
      </c>
      <c r="N5" s="27" t="s">
        <v>33</v>
      </c>
      <c r="O5" s="25">
        <v>0.2</v>
      </c>
      <c r="P5" s="25" t="s">
        <v>370</v>
      </c>
      <c r="Q5" s="31">
        <f t="shared" ref="Q5:Q9" si="0">IF(OR(ISBLANK(O5), O5="-"), "-", O5/L5)</f>
        <v>0.33333333333333337</v>
      </c>
    </row>
    <row r="6" spans="1:26" s="20" customFormat="1" ht="46.9" customHeight="1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>
        <v>200</v>
      </c>
      <c r="J6" s="25" t="s">
        <v>314</v>
      </c>
      <c r="K6" s="25">
        <v>120</v>
      </c>
      <c r="L6" s="28">
        <v>0.6</v>
      </c>
      <c r="M6" s="25" t="s">
        <v>370</v>
      </c>
      <c r="N6" s="27" t="s">
        <v>33</v>
      </c>
      <c r="O6" s="25">
        <v>0.2</v>
      </c>
      <c r="P6" s="25" t="s">
        <v>370</v>
      </c>
      <c r="Q6" s="31">
        <f t="shared" si="0"/>
        <v>0.33333333333333337</v>
      </c>
    </row>
    <row r="7" spans="1:26" s="20" customFormat="1" ht="46.9" customHeight="1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>
        <v>50</v>
      </c>
      <c r="J7" s="25" t="s">
        <v>314</v>
      </c>
      <c r="K7" s="25">
        <v>130</v>
      </c>
      <c r="L7" s="28">
        <v>0.6</v>
      </c>
      <c r="M7" s="25" t="s">
        <v>370</v>
      </c>
      <c r="N7" s="27" t="s">
        <v>33</v>
      </c>
      <c r="O7" s="25">
        <v>0.2</v>
      </c>
      <c r="P7" s="25" t="s">
        <v>370</v>
      </c>
      <c r="Q7" s="31">
        <f t="shared" si="0"/>
        <v>0.33333333333333337</v>
      </c>
    </row>
    <row r="8" spans="1:26" s="20" customFormat="1" ht="43.15" customHeight="1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>
        <v>50</v>
      </c>
      <c r="J8" s="25" t="s">
        <v>314</v>
      </c>
      <c r="K8" s="25">
        <v>150</v>
      </c>
      <c r="L8" s="28">
        <v>0.6</v>
      </c>
      <c r="M8" s="25" t="s">
        <v>370</v>
      </c>
      <c r="N8" s="27" t="s">
        <v>33</v>
      </c>
      <c r="O8" s="25">
        <v>0.2</v>
      </c>
      <c r="P8" s="25" t="s">
        <v>370</v>
      </c>
      <c r="Q8" s="31">
        <f t="shared" si="0"/>
        <v>0.33333333333333337</v>
      </c>
    </row>
    <row r="9" spans="1:26" s="20" customFormat="1" ht="52.15" customHeight="1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>
        <v>50</v>
      </c>
      <c r="J9" s="25" t="s">
        <v>314</v>
      </c>
      <c r="K9" s="25">
        <v>150</v>
      </c>
      <c r="L9" s="28">
        <v>0.6</v>
      </c>
      <c r="M9" s="25" t="s">
        <v>370</v>
      </c>
      <c r="N9" s="27" t="s">
        <v>33</v>
      </c>
      <c r="O9" s="25">
        <v>0.2</v>
      </c>
      <c r="P9" s="25" t="s">
        <v>370</v>
      </c>
      <c r="Q9" s="31">
        <f t="shared" si="0"/>
        <v>0.33333333333333337</v>
      </c>
    </row>
    <row r="10" spans="1:26" ht="14.25" customHeight="1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15" customHeight="1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 t="s">
        <v>329</v>
      </c>
      <c r="J17" s="39" t="s">
        <v>415</v>
      </c>
      <c r="K17" s="37">
        <v>67.900000000000006</v>
      </c>
      <c r="L17" s="37" t="s">
        <v>330</v>
      </c>
      <c r="M17" s="37" t="s">
        <v>332</v>
      </c>
      <c r="N17" s="37" t="s">
        <v>33</v>
      </c>
      <c r="O17" s="37">
        <v>0.25</v>
      </c>
      <c r="P17" s="37" t="s">
        <v>252</v>
      </c>
      <c r="Q17" s="39" t="s">
        <v>33</v>
      </c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57" customHeight="1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 t="s">
        <v>329</v>
      </c>
      <c r="J18" s="39" t="s">
        <v>415</v>
      </c>
      <c r="K18" s="37">
        <v>72.5</v>
      </c>
      <c r="L18" s="37" t="s">
        <v>416</v>
      </c>
      <c r="M18" s="37" t="s">
        <v>332</v>
      </c>
      <c r="N18" s="37" t="s">
        <v>33</v>
      </c>
      <c r="O18" s="37">
        <v>0.25</v>
      </c>
      <c r="P18" s="37" t="s">
        <v>252</v>
      </c>
      <c r="Q18" s="37" t="s">
        <v>33</v>
      </c>
    </row>
    <row r="19" spans="1:26" ht="64.900000000000006" customHeight="1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 t="s">
        <v>334</v>
      </c>
      <c r="J19" s="37" t="s">
        <v>33</v>
      </c>
      <c r="K19" s="37">
        <v>89.9</v>
      </c>
      <c r="L19" s="37" t="s">
        <v>417</v>
      </c>
      <c r="M19" s="37" t="s">
        <v>332</v>
      </c>
      <c r="N19" s="37" t="s">
        <v>33</v>
      </c>
      <c r="O19" s="37" t="s">
        <v>33</v>
      </c>
      <c r="P19" s="41"/>
      <c r="Q19" s="41"/>
    </row>
    <row r="20" spans="1:26" ht="59.45" customHeight="1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7" t="s">
        <v>335</v>
      </c>
      <c r="J20" s="37" t="s">
        <v>33</v>
      </c>
      <c r="K20" s="37">
        <v>25</v>
      </c>
      <c r="L20" s="37" t="s">
        <v>418</v>
      </c>
      <c r="M20" s="37" t="s">
        <v>332</v>
      </c>
      <c r="N20" s="37" t="s">
        <v>33</v>
      </c>
      <c r="O20" s="37" t="s">
        <v>33</v>
      </c>
      <c r="P20" s="41"/>
      <c r="Q20" s="41"/>
    </row>
    <row r="21" spans="1:26" ht="63" customHeight="1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7" t="s">
        <v>335</v>
      </c>
      <c r="J21" s="37" t="s">
        <v>33</v>
      </c>
      <c r="K21" s="37">
        <v>39.9</v>
      </c>
      <c r="L21" s="37" t="s">
        <v>418</v>
      </c>
      <c r="M21" s="37" t="s">
        <v>332</v>
      </c>
      <c r="N21" s="37" t="s">
        <v>33</v>
      </c>
      <c r="O21" s="37" t="s">
        <v>33</v>
      </c>
      <c r="P21" s="41"/>
      <c r="Q21" s="41"/>
    </row>
    <row r="22" spans="1:26" ht="59.45" customHeight="1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7" t="s">
        <v>335</v>
      </c>
      <c r="J22" s="37" t="s">
        <v>33</v>
      </c>
      <c r="K22" s="37">
        <v>39.9</v>
      </c>
      <c r="L22" s="37" t="s">
        <v>418</v>
      </c>
      <c r="M22" s="37" t="s">
        <v>332</v>
      </c>
      <c r="N22" s="37" t="s">
        <v>33</v>
      </c>
      <c r="O22" s="37" t="s">
        <v>33</v>
      </c>
      <c r="P22" s="41"/>
      <c r="Q22" s="41"/>
    </row>
    <row r="23" spans="1:26" ht="63" customHeight="1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7" t="s">
        <v>335</v>
      </c>
      <c r="J23" s="37" t="s">
        <v>33</v>
      </c>
      <c r="K23" s="37">
        <v>39.9</v>
      </c>
      <c r="L23" s="37" t="s">
        <v>418</v>
      </c>
      <c r="M23" s="37" t="s">
        <v>332</v>
      </c>
      <c r="N23" s="37" t="s">
        <v>33</v>
      </c>
      <c r="O23" s="37" t="s">
        <v>33</v>
      </c>
      <c r="P23" s="41"/>
      <c r="Q23" s="41"/>
    </row>
    <row r="24" spans="1:26" ht="14.25" customHeight="1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9" customHeight="1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>
        <v>72</v>
      </c>
      <c r="J32" s="37" t="s">
        <v>247</v>
      </c>
      <c r="K32" s="37">
        <v>90</v>
      </c>
      <c r="L32" s="39" t="s">
        <v>430</v>
      </c>
      <c r="M32" s="37" t="s">
        <v>431</v>
      </c>
      <c r="N32" s="37">
        <v>6</v>
      </c>
      <c r="O32" s="37" t="s">
        <v>247</v>
      </c>
      <c r="P32" s="25" t="s">
        <v>247</v>
      </c>
      <c r="Q32" s="31" t="s">
        <v>33</v>
      </c>
    </row>
    <row r="33" spans="1:18" ht="14.25" customHeight="1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>
        <v>6</v>
      </c>
      <c r="J33" s="37" t="s">
        <v>247</v>
      </c>
      <c r="K33" s="37">
        <v>90</v>
      </c>
      <c r="L33" s="37" t="s">
        <v>33</v>
      </c>
      <c r="M33" s="37" t="s">
        <v>33</v>
      </c>
      <c r="N33" s="41"/>
      <c r="O33" s="37" t="s">
        <v>33</v>
      </c>
      <c r="P33" s="25" t="s">
        <v>33</v>
      </c>
      <c r="Q33" s="25" t="s">
        <v>33</v>
      </c>
    </row>
    <row r="34" spans="1:18" s="20" customFormat="1" ht="14.25" customHeight="1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>
        <v>60</v>
      </c>
      <c r="J34" s="33" t="s">
        <v>247</v>
      </c>
      <c r="K34" s="25">
        <v>68.900000000000006</v>
      </c>
      <c r="L34" s="25" t="s">
        <v>33</v>
      </c>
      <c r="M34" s="33" t="s">
        <v>33</v>
      </c>
      <c r="N34" s="34" t="s">
        <v>33</v>
      </c>
      <c r="O34" s="33" t="s">
        <v>33</v>
      </c>
      <c r="P34" s="33" t="s">
        <v>33</v>
      </c>
      <c r="Q34" s="33" t="s">
        <v>33</v>
      </c>
    </row>
    <row r="35" spans="1:18" s="20" customFormat="1" ht="14.25" customHeight="1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>
        <v>100</v>
      </c>
      <c r="J35" s="33" t="s">
        <v>247</v>
      </c>
      <c r="K35" s="25">
        <v>120</v>
      </c>
      <c r="L35" s="25" t="s">
        <v>33</v>
      </c>
      <c r="M35" s="33" t="s">
        <v>33</v>
      </c>
      <c r="N35" s="34" t="s">
        <v>33</v>
      </c>
      <c r="O35" s="33" t="s">
        <v>33</v>
      </c>
      <c r="P35" s="33" t="s">
        <v>33</v>
      </c>
      <c r="Q35" s="33" t="s">
        <v>33</v>
      </c>
    </row>
    <row r="36" spans="1:18" s="20" customFormat="1" ht="14.25" customHeight="1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>
        <v>20</v>
      </c>
      <c r="J36" s="33" t="s">
        <v>247</v>
      </c>
      <c r="K36" s="25">
        <v>45</v>
      </c>
      <c r="L36" s="25" t="s">
        <v>33</v>
      </c>
      <c r="M36" s="33" t="s">
        <v>33</v>
      </c>
      <c r="N36" s="34" t="s">
        <v>33</v>
      </c>
      <c r="O36" s="33" t="s">
        <v>33</v>
      </c>
      <c r="P36" s="33" t="s">
        <v>33</v>
      </c>
      <c r="Q36" s="33" t="s">
        <v>33</v>
      </c>
    </row>
    <row r="37" spans="1:18" s="20" customFormat="1" ht="14.25" customHeight="1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>
        <v>25</v>
      </c>
      <c r="J37" s="33" t="s">
        <v>247</v>
      </c>
      <c r="K37" s="25">
        <v>68</v>
      </c>
      <c r="L37" s="25" t="s">
        <v>33</v>
      </c>
      <c r="M37" s="33" t="s">
        <v>33</v>
      </c>
      <c r="N37" s="34" t="s">
        <v>33</v>
      </c>
      <c r="O37" s="33" t="s">
        <v>33</v>
      </c>
      <c r="P37" s="33" t="s">
        <v>33</v>
      </c>
      <c r="Q37" s="33" t="s">
        <v>33</v>
      </c>
    </row>
    <row r="38" spans="1:18" s="20" customFormat="1" ht="14.25" customHeight="1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>
        <v>185</v>
      </c>
      <c r="J38" s="33" t="s">
        <v>247</v>
      </c>
      <c r="K38" s="25">
        <v>48.9</v>
      </c>
      <c r="L38" s="25" t="s">
        <v>33</v>
      </c>
      <c r="M38" s="33" t="s">
        <v>33</v>
      </c>
      <c r="N38" s="34" t="s">
        <v>33</v>
      </c>
      <c r="O38" s="33" t="s">
        <v>33</v>
      </c>
      <c r="P38" s="33" t="s">
        <v>33</v>
      </c>
      <c r="Q38" s="33" t="s">
        <v>33</v>
      </c>
    </row>
    <row r="39" spans="1:18" s="20" customFormat="1" ht="14.25" customHeight="1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>
        <v>20</v>
      </c>
      <c r="J39" s="33" t="s">
        <v>247</v>
      </c>
      <c r="K39" s="25" t="s">
        <v>33</v>
      </c>
      <c r="L39" s="25" t="s">
        <v>33</v>
      </c>
      <c r="M39" s="33" t="s">
        <v>33</v>
      </c>
      <c r="N39" s="34" t="s">
        <v>33</v>
      </c>
      <c r="O39" s="33" t="s">
        <v>33</v>
      </c>
      <c r="P39" s="33" t="s">
        <v>33</v>
      </c>
      <c r="Q39" s="33" t="s">
        <v>33</v>
      </c>
    </row>
    <row r="40" spans="1:18" s="15" customFormat="1" ht="14.25" customHeight="1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8" s="61" customFormat="1" ht="14.25" customHeight="1">
      <c r="A41" s="60">
        <v>210</v>
      </c>
      <c r="B41" s="34" t="s">
        <v>220</v>
      </c>
      <c r="C41" s="34" t="s">
        <v>473</v>
      </c>
      <c r="D41" s="34" t="s">
        <v>327</v>
      </c>
      <c r="E41" s="4" t="s">
        <v>312</v>
      </c>
      <c r="F41" s="34" t="s">
        <v>474</v>
      </c>
      <c r="G41" s="60"/>
      <c r="H41" s="34" t="s">
        <v>211</v>
      </c>
      <c r="I41" s="60">
        <v>1300</v>
      </c>
      <c r="J41" s="34" t="s">
        <v>341</v>
      </c>
      <c r="K41" s="60">
        <v>44</v>
      </c>
      <c r="L41" s="60">
        <v>20</v>
      </c>
      <c r="M41" s="34" t="s">
        <v>341</v>
      </c>
      <c r="N41" s="60"/>
      <c r="O41" s="60"/>
      <c r="P41" s="60"/>
      <c r="Q41" s="60"/>
    </row>
    <row r="42" spans="1:18" ht="14.25" customHeight="1">
      <c r="A42" s="60">
        <v>210</v>
      </c>
      <c r="B42" s="34" t="s">
        <v>220</v>
      </c>
      <c r="C42" s="34" t="s">
        <v>473</v>
      </c>
      <c r="D42" s="62" t="s">
        <v>475</v>
      </c>
      <c r="E42" s="62" t="s">
        <v>312</v>
      </c>
      <c r="F42" s="62" t="s">
        <v>303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8" ht="14.25" customHeight="1">
      <c r="A43" s="60">
        <v>210</v>
      </c>
      <c r="B43" s="62" t="s">
        <v>168</v>
      </c>
      <c r="C43" s="62" t="s">
        <v>476</v>
      </c>
      <c r="D43" s="62" t="s">
        <v>477</v>
      </c>
      <c r="E43" s="62" t="s">
        <v>312</v>
      </c>
      <c r="F43" s="62" t="s">
        <v>478</v>
      </c>
      <c r="G43" s="62" t="s">
        <v>479</v>
      </c>
      <c r="H43" s="62" t="s">
        <v>480</v>
      </c>
      <c r="I43" s="2">
        <v>200</v>
      </c>
      <c r="J43" s="62" t="s">
        <v>481</v>
      </c>
      <c r="K43" s="2"/>
      <c r="L43" s="2"/>
      <c r="M43" s="2"/>
      <c r="N43" s="2"/>
      <c r="O43" s="2"/>
      <c r="P43" s="2"/>
      <c r="Q43" s="2"/>
    </row>
    <row r="44" spans="1:18" ht="14.25" customHeight="1">
      <c r="A44" s="60">
        <v>210</v>
      </c>
      <c r="B44" s="62" t="s">
        <v>168</v>
      </c>
      <c r="C44" s="62" t="s">
        <v>476</v>
      </c>
      <c r="D44" s="62" t="s">
        <v>477</v>
      </c>
      <c r="E44" s="2"/>
      <c r="F44" s="62" t="s">
        <v>482</v>
      </c>
      <c r="G44" s="2"/>
      <c r="H44" s="62" t="s">
        <v>211</v>
      </c>
      <c r="I44" s="2">
        <v>15</v>
      </c>
      <c r="J44" s="62" t="s">
        <v>341</v>
      </c>
      <c r="K44" s="2"/>
      <c r="L44" s="2"/>
      <c r="M44" s="2"/>
      <c r="N44" s="2"/>
      <c r="O44" s="2"/>
      <c r="P44" s="2"/>
      <c r="Q44" s="2"/>
    </row>
    <row r="45" spans="1:18" ht="14.25" customHeight="1">
      <c r="A45" s="60">
        <v>210</v>
      </c>
      <c r="B45" s="62" t="s">
        <v>168</v>
      </c>
      <c r="C45" s="62" t="s">
        <v>476</v>
      </c>
      <c r="D45" s="62" t="s">
        <v>477</v>
      </c>
      <c r="E45" s="62"/>
      <c r="F45" s="62" t="s">
        <v>483</v>
      </c>
      <c r="G45" s="2"/>
      <c r="H45" s="62" t="s">
        <v>484</v>
      </c>
      <c r="I45" s="2"/>
      <c r="J45" s="2"/>
      <c r="K45" s="2"/>
      <c r="L45" s="2"/>
      <c r="M45" s="2"/>
      <c r="N45" s="2"/>
      <c r="O45" s="2"/>
      <c r="P45" s="2"/>
      <c r="Q45" s="2"/>
    </row>
    <row r="46" spans="1:18" ht="14.25" customHeight="1">
      <c r="A46" s="60">
        <v>210</v>
      </c>
      <c r="B46" s="62" t="s">
        <v>168</v>
      </c>
      <c r="C46" s="62" t="s">
        <v>476</v>
      </c>
      <c r="D46" s="62" t="s">
        <v>477</v>
      </c>
      <c r="E46" s="2"/>
      <c r="F46" s="62" t="s">
        <v>485</v>
      </c>
      <c r="G46" s="62" t="s">
        <v>479</v>
      </c>
      <c r="H46" s="62" t="s">
        <v>480</v>
      </c>
      <c r="I46" s="2"/>
      <c r="J46" s="2"/>
      <c r="K46" s="2"/>
      <c r="L46" s="2"/>
      <c r="M46" s="2"/>
      <c r="N46" s="2"/>
      <c r="O46" s="2"/>
      <c r="P46" s="2"/>
      <c r="Q46" s="2"/>
    </row>
    <row r="47" spans="1:18" s="15" customFormat="1" ht="49.15" customHeight="1">
      <c r="A47" s="37">
        <v>211</v>
      </c>
      <c r="B47" s="37" t="s">
        <v>50</v>
      </c>
      <c r="C47" s="37" t="s">
        <v>310</v>
      </c>
      <c r="D47" s="37" t="s">
        <v>301</v>
      </c>
      <c r="E47" s="37" t="s">
        <v>33</v>
      </c>
      <c r="F47" s="39" t="s">
        <v>450</v>
      </c>
      <c r="G47" s="37" t="s">
        <v>33</v>
      </c>
      <c r="H47" s="37" t="s">
        <v>33</v>
      </c>
      <c r="I47" s="37">
        <f>6500*9</f>
        <v>58500</v>
      </c>
      <c r="J47" s="37" t="s">
        <v>247</v>
      </c>
      <c r="K47" s="43">
        <f t="shared" ref="K47:K48" si="1">400/60</f>
        <v>6.666666666666667</v>
      </c>
      <c r="L47" s="37" t="s">
        <v>33</v>
      </c>
      <c r="M47" s="37" t="s">
        <v>33</v>
      </c>
      <c r="N47" s="37" t="s">
        <v>33</v>
      </c>
      <c r="O47" s="37" t="s">
        <v>33</v>
      </c>
      <c r="P47" s="37" t="s">
        <v>33</v>
      </c>
      <c r="Q47" s="37" t="s">
        <v>33</v>
      </c>
      <c r="R47" s="38"/>
    </row>
    <row r="48" spans="1:18" s="15" customFormat="1" ht="43.15" customHeight="1">
      <c r="A48" s="37">
        <v>211</v>
      </c>
      <c r="B48" s="37" t="s">
        <v>448</v>
      </c>
      <c r="C48" s="37" t="s">
        <v>310</v>
      </c>
      <c r="D48" s="37" t="s">
        <v>301</v>
      </c>
      <c r="E48" s="37" t="s">
        <v>33</v>
      </c>
      <c r="F48" s="39" t="s">
        <v>449</v>
      </c>
      <c r="G48" s="37" t="s">
        <v>33</v>
      </c>
      <c r="H48" s="37" t="s">
        <v>33</v>
      </c>
      <c r="I48" s="37">
        <f>65000*0.1</f>
        <v>6500</v>
      </c>
      <c r="J48" s="37" t="s">
        <v>247</v>
      </c>
      <c r="K48" s="43">
        <f t="shared" si="1"/>
        <v>6.666666666666667</v>
      </c>
      <c r="L48" s="37" t="s">
        <v>33</v>
      </c>
      <c r="M48" s="37" t="s">
        <v>33</v>
      </c>
      <c r="N48" s="37" t="s">
        <v>33</v>
      </c>
      <c r="O48" s="37" t="s">
        <v>33</v>
      </c>
      <c r="P48" s="37" t="s">
        <v>33</v>
      </c>
      <c r="Q48" s="37" t="s">
        <v>33</v>
      </c>
      <c r="R48" s="38"/>
    </row>
    <row r="49" spans="1:17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  <row r="1003" spans="1:17" ht="14.2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</row>
    <row r="1004" spans="1:17" ht="14.2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</row>
    <row r="1005" spans="1:17" ht="14.2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</row>
    <row r="1006" spans="1:17" ht="14.2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</row>
    <row r="1007" spans="1:17" ht="14.2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</row>
    <row r="1008" spans="1:17" ht="14.25" customHeight="1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MATHEUS P SANTOS</cp:lastModifiedBy>
  <dcterms:created xsi:type="dcterms:W3CDTF">2025-07-29T18:40:04Z</dcterms:created>
  <dcterms:modified xsi:type="dcterms:W3CDTF">2025-12-19T07:23:35Z</dcterms:modified>
</cp:coreProperties>
</file>