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D23E83C7-A049-48A2-8365-C8BEC7D9AC0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K48" i="4" l="1"/>
  <c r="I48" i="4"/>
  <c r="K47" i="4"/>
  <c r="I47" i="4"/>
  <c r="F33" i="3"/>
  <c r="E33" i="3"/>
  <c r="C33" i="3"/>
  <c r="F28" i="3"/>
  <c r="E28" i="3"/>
  <c r="G17" i="3"/>
  <c r="C17" i="3"/>
  <c r="G15" i="3"/>
  <c r="C15" i="3"/>
  <c r="G14" i="3"/>
  <c r="C14" i="3"/>
  <c r="F29" i="3"/>
  <c r="E29" i="3"/>
  <c r="Q9" i="4"/>
  <c r="Q8" i="4"/>
  <c r="Q7" i="4"/>
  <c r="Q6" i="4"/>
  <c r="Q5" i="4"/>
  <c r="F8" i="3"/>
  <c r="E8" i="3"/>
  <c r="C8" i="3"/>
  <c r="F7" i="3"/>
  <c r="E7" i="3"/>
  <c r="C7" i="3"/>
  <c r="F6" i="3"/>
  <c r="E6" i="3"/>
  <c r="C6" i="3"/>
  <c r="F5" i="3"/>
  <c r="E5" i="3"/>
  <c r="C5" i="3"/>
  <c r="F4" i="3"/>
  <c r="E4" i="3"/>
  <c r="C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<sst xmlns="http://schemas.openxmlformats.org/spreadsheetml/2006/main" count="1497" uniqueCount="525">
  <si>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</si>
  <si>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</si>
  <si>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</si>
  <si>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</si>
  <si>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</si>
  <si>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</si>
  <si>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</si>
  <si>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</si>
  <si>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</si>
  <si>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</si>
  <si>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</si>
  <si>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</si>
  <si>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</si>
  <si>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</si>
  <si>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</si>
  <si>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</si>
  <si>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</si>
  <si>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</si>
  <si>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</si>
  <si>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</si>
  <si>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</si>
  <si>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</si>
  <si>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</si>
  <si>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</si>
  <si>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</si>
  <si>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</si>
  <si>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</si>
  <si>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</si>
  <si>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</si>
  <si>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</si>
  <si>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</si>
  <si>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</si>
  <si>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</si>
  <si>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</si>
  <si>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</si>
  <si>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</si>
  <si>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</si>
  <si>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</si>
  <si>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</si>
  <si>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</si>
  <si>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</si>
  <si>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</si>
  <si>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</si>
  <si>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</si>
  <si>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</si>
  <si>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</si>
  <si>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</si>
  <si>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</si>
  <si>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</si>
  <si>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</si>
  <si>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</si>
  <si>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</si>
  <si>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</si>
  <si>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</si>
  <si>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</si>
  <si>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</si>
  <si>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</si>
  <si>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</si>
  <si>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</si>
  <si>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</si>
  <si>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</si>
  <si>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</si>
  <si>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</si>
  <si>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</si>
  <si>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</si>
  <si>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</si>
  <si>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</si>
  <si>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</si>
  <si>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</si>
  <si>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</si>
  <si>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</si>
  <si>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</si>
  <si>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</si>
  <si>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</si>
  <si>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</si>
  <si>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</si>
  <si>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</si>
  <si>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</si>
  <si>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</si>
  <si>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</si>
  <si>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</si>
  <si>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</si>
  <si>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</si>
  <si>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</si>
  <si>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</si>
  <si>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</si>
  <si>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</si>
  <si>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</si>
  <si>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</si>
  <si>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</si>
  <si>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</si>
  <si>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</si>
  <si>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</si>
  <si>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</si>
  <si>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</si>
  <si>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</si>
  <si>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</si>
  <si>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</si>
  <si>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</si>
  <si>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</si>
  <si>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</si>
  <si>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</si>
  <si>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</si>
  <si>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</si>
  <si>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</si>
  <si>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</si>
  <si>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</si>
  <si>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</si>
  <si>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</si>
  <si>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</si>
  <si>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</si>
  <si>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</si>
  <si>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</si>
  <si>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</si>
  <si>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</si>
  <si>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</si>
  <si>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</si>
  <si>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</si>
  <si>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</si>
  <si>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</si>
  <si>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</si>
  <si>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</si>
  <si>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</si>
  <si>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</si>
  <si>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</si>
  <si>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</si>
  <si>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</si>
  <si>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</si>
  <si>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</si>
  <si>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</si>
  <si>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</si>
  <si>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</si>
  <si>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</si>
  <si>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</si>
  <si>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</si>
  <si>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</si>
  <si>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</si>
  <si>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</si>
  <si>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</si>
  <si>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</si>
  <si>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</si>
  <si>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</si>
  <si>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</si>
  <si>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</si>
  <si>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</si>
  <si>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</si>
  <si>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</si>
  <si>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</si>
  <si>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</si>
  <si>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</si>
  <si>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</si>
  <si>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</si>
  <si>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</si>
  <si>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</si>
  <si>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</si>
  <si>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</si>
  <si>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</si>
  <si>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</si>
  <si>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</si>
  <si>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</si>
  <si>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</si>
  <si>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</si>
  <si>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</si>
  <si>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</si>
  <si>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</si>
  <si>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</si>
  <si>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</si>
  <si>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</si>
  <si>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</si>
  <si>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</si>
  <si>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</si>
  <si>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</si>
  <si>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</si>
  <si>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</si>
  <si>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</si>
  <si>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</si>
  <si>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</si>
  <si>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</si>
  <si>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</si>
  <si>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</si>
  <si>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</si>
  <si>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</si>
  <si>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</si>
  <si>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</si>
  <si>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</si>
  <si>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</si>
  <si>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</si>
  <si>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</si>
  <si>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</si>
  <si>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</si>
  <si>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</si>
  <si>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</si>
  <si>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</si>
  <si>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</si>
  <si>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</si>
  <si>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</si>
  <si>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</si>
  <si>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</si>
  <si>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</si>
  <si>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</si>
  <si>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</si>
  <si>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</si>
  <si>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</si>
  <si>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</si>
  <si>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</si>
  <si>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</si>
  <si>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</si>
  <si>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</si>
  <si>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</si>
  <si>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</si>
  <si>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</si>
  <si>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</si>
  <si>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</si>
  <si>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</si>
  <si>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</si>
  <si>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</si>
  <si>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</si>
  <si>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</si>
  <si>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</si>
  <si>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</si>
  <si>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</si>
  <si>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</si>
  <si>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</si>
  <si>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</si>
  <si>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</si>
  <si>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</si>
  <si>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</si>
  <si>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</si>
  <si>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</si>
  <si>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</si>
  <si>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</si>
  <si>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</si>
  <si>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</si>
  <si>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</si>
  <si>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</si>
  <si>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</si>
  <si>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</si>
  <si>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</si>
  <si>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</si>
  <si>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</si>
  <si>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</si>
  <si>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</si>
  <si>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</si>
  <si>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</si>
  <si>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</si>
  <si>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</si>
  <si>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</si>
  <si>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</si>
  <si>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</si>
  <si>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</si>
  <si>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</si>
  <si>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</si>
  <si>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</si>
  <si>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</si>
  <si>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</si>
  <si>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</si>
  <si>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</si>
  <si>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</si>
  <si>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</si>
  <si>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</si>
  <si>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</si>
  <si>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</si>
  <si>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</si>
  <si>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</si>
  <si>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</si>
  <si>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</si>
  <si>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</si>
  <si>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</si>
  <si>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</si>
  <si>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</si>
  <si>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</si>
  <si>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</si>
  <si>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</si>
  <si>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</si>
  <si>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</si>
  <si>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</si>
  <si>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</si>
  <si>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</si>
  <si>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</si>
  <si>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</si>
  <si>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</si>
  <si>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</si>
  <si>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</si>
  <si>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</si>
  <si>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</si>
  <si>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</si>
  <si>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</si>
  <si>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</si>
  <si>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</si>
  <si>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</si>
  <si>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</si>
  <si>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</si>
  <si>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</si>
  <si>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</si>
  <si>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</si>
  <si>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</si>
  <si>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</si>
  <si>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</si>
  <si>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</si>
  <si>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</si>
  <si>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</si>
  <si>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</si>
  <si>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</si>
  <si>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</si>
  <si>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</si>
  <si>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</si>
  <si>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</si>
  <si>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</si>
  <si>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</si>
  <si>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</si>
  <si>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</si>
  <si>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</si>
  <si>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</si>
  <si>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</si>
  <si>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</si>
  <si>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</si>
  <si>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</si>
  <si>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</si>
  <si>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</si>
  <si>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</si>
  <si>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</si>
  <si>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</si>
  <si>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</si>
  <si>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</si>
  <si>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</si>
  <si>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</si>
  <si>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</si>
  <si>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</si>
  <si>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</si>
  <si>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</si>
  <si>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</si>
  <si>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</si>
  <si>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</si>
  <si>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</si>
  <si>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</si>
  <si>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</si>
  <si>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</si>
  <si>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</si>
  <si>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</si>
  <si>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</si>
  <si>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</si>
  <si>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</si>
  <si>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</si>
  <si>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</si>
  <si>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</si>
  <si>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</si>
  <si>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</si>
  <si>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</si>
  <si>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</si>
  <si>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</si>
  <si>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</si>
  <si>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</si>
  <si>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</si>
  <si>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</si>
  <si>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</si>
  <si>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</si>
  <si>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</si>
  <si>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</si>
  <si>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</si>
  <si>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</si>
  <si>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</si>
  <si>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</si>
  <si>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</si>
  <si>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</si>
  <si>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</si>
  <si>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</si>
  <si>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</si>
  <si>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</si>
  <si>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</si>
  <si>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</si>
  <si>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</si>
  <si>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</si>
  <si>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</si>
  <si>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</si>
  <si>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</si>
  <si>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</si>
  <si>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</si>
  <si>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</si>
  <si>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</si>
  <si>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</si>
  <si>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</si>
  <si>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</si>
  <si>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</si>
  <si>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</si>
  <si>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</si>
  <si>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</si>
  <si>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</si>
  <si>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</si>
  <si>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</si>
  <si>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</si>
  <si>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</si>
  <si>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</si>
  <si>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</si>
  <si>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</si>
  <si>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</si>
  <si>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</si>
  <si>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</si>
  <si>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</si>
  <si>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</si>
  <si>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</si>
  <si>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</si>
  <si>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</si>
  <si>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</si>
  <si>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</si>
  <si>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</si>
  <si>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</si>
  <si>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</si>
  <si>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</si>
  <si>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</si>
  <si>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</si>
  <si>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</si>
  <si>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</si>
  <si>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</si>
  <si>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</si>
  <si>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</si>
  <si>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</si>
  <si>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</si>
  <si>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</si>
  <si>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</si>
  <si>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</si>
  <si>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</si>
  <si>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</si>
  <si>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</si>
  <si>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</si>
  <si>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</si>
  <si>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</si>
  <si>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</si>
  <si>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</si>
  <si>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</si>
  <si>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</si>
  <si>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</si>
  <si>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</si>
  <si>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</si>
  <si>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</si>
  <si>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</si>
  <si>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</si>
  <si>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</si>
  <si>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</si>
  <si>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</si>
  <si>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</si>
  <si>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</si>
  <si>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</si>
  <si>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</si>
  <si>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</si>
  <si>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</si>
  <si>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</si>
  <si>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</si>
  <si>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</si>
  <si>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</si>
  <si>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</si>
  <si>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</si>
  <si>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</si>
  <si>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</si>
  <si>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</si>
  <si>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</si>
  <si>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</si>
  <si>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</si>
  <si>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</si>
  <si>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</si>
  <si>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</si>
  <si>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</si>
  <si>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</si>
  <si>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</si>
  <si>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</si>
  <si>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</si>
  <si>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</si>
  <si>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</si>
  <si>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</si>
  <si>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</si>
  <si>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</si>
  <si>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</si>
  <si>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</si>
  <si>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</si>
  <si>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</si>
  <si>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</si>
  <si>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</si>
  <si>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</si>
  <si>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</si>
  <si>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</si>
  <si>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</si>
  <si>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</si>
  <si>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</si>
  <si>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</si>
  <si>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</si>
  <si>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</si>
  <si>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</si>
  <si>
    <t>Lissandra, Alanna, Luiz e Sebastião</t>
  </si>
  <si>
    <t>Adalmor</t>
  </si>
  <si>
    <t>Samaúma Óleos Vegetais Da Amazônia</t>
  </si>
  <si>
    <t>Samaúma - Curua Uma - Santarém</t>
  </si>
  <si>
    <t>Manteiga de cupuaçu, Manteiga de cacau, Óleo de andiroba, Óleo de coco; Óleo de maracujá, oleo de
gergelim; Copaíba ( semente e tronco) ( vai começar atravessar castanha)</t>
  </si>
  <si>
    <t>In natura e processados</t>
  </si>
  <si>
    <t>Em 2025, comprou de uma cooperativa de Manaus</t>
  </si>
  <si>
    <t>Manteiga : 4 kg de semente rende 1 L
Andiroba: 5 kg seca rende 1 L
Copaíba 1 L gera 950 Ml
Cumarú 3 kg de semente seca rende 1 L
cupuaçu 4 kg rende 1 L</t>
  </si>
  <si>
    <t>Contínuo</t>
  </si>
  <si>
    <t>Balacrim (manaus) : garrafas pets e carotes. Química: potes e Baldes</t>
  </si>
  <si>
    <t>Balacrim: 5 mil no ano de 2024.</t>
  </si>
  <si>
    <t>4 pessoas ( 2 filhos. ele, e um de fora)</t>
  </si>
  <si>
    <t>Na diária</t>
  </si>
  <si>
    <t>Financiamento e recurso Próprio, diretamente com as empresas que vendem o equipamento.</t>
  </si>
  <si>
    <t>Cupuaçú</t>
  </si>
  <si>
    <t>Francisco; tarcísio;
José Isidorio</t>
  </si>
  <si>
    <t>Compra e produz</t>
  </si>
  <si>
    <t>Da mesma cooperativa, não interfere</t>
  </si>
  <si>
    <t>Santarém
Garrafão (mojuí)
Curupira ( curua una)</t>
  </si>
  <si>
    <t>Tarcísio</t>
  </si>
  <si>
    <t>Rubenir (vizinho)</t>
  </si>
  <si>
    <t>Produz 80 %
Compra 20%</t>
  </si>
  <si>
    <t>Não interfere</t>
  </si>
  <si>
    <t>Samaúma
Lirios dos vales
Comunidade dos patos</t>
  </si>
  <si>
    <t>Produz</t>
  </si>
  <si>
    <t>Samaúma
chapadão
cachoeira do aruã</t>
  </si>
  <si>
    <t>90% vende. 10% produz</t>
  </si>
  <si>
    <t>Area indigena
cahoeira do aruã
Boa esperança</t>
  </si>
  <si>
    <t>Vizinhos</t>
  </si>
  <si>
    <t>Dona Edite (Liberdade STM)</t>
  </si>
  <si>
    <t>Farmaceutica da Mahá que presta serviço pra ele (BRUNA)</t>
  </si>
  <si>
    <t>Ele produz</t>
  </si>
  <si>
    <t>Copaiba</t>
  </si>
  <si>
    <t>Busca</t>
  </si>
  <si>
    <t>Em casa e ele pega</t>
  </si>
  <si>
    <t>Quando é perto entregam, e quando é longe ele busca.</t>
  </si>
  <si>
    <t>Carro Proprio</t>
  </si>
  <si>
    <t>50 a 60 de gasolina</t>
  </si>
  <si>
    <t>quando entregam na casa dele é incluso no valor. Ou ele pega
no transporte proprio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</si>
</sst>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5" fillId="0" borderId="0" xfId="0" applyFont="1"/>
    <xf numFmtId="0" fontId="4" fillId="0" borderId="11" xfId="0" applyFont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U11" activePane="bottomRight" state="frozen"/>
      <selection pane="topRight" activeCell="H1" sqref="H1"/>
      <selection pane="bottomLeft" activeCell="A3" sqref="A3"/>
      <selection pane="bottomRight" activeCell="X16" sqref="X16"/>
    </sheetView>
  </sheetViews>
  <sheetFormatPr defaultColWidth="12.6640625" defaultRowHeight="15" customHeight="1" x14ac:dyDescent="0.3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5.33203125" customWidth="1"/>
    <col min="17" max="17" width="12" customWidth="1"/>
    <col min="18" max="18" width="8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7" ht="14.25" customHeight="1" x14ac:dyDescent="0.3">
      <c r="A1" s="60" t="s">
        <v>0</v>
      </c>
      <c r="B1" s="61"/>
      <c r="C1" s="61"/>
      <c r="D1" s="61"/>
      <c r="E1" s="61"/>
      <c r="F1" s="61"/>
      <c r="G1" s="62"/>
      <c r="H1" s="63" t="s">
        <v>1</v>
      </c>
      <c r="I1" s="64"/>
      <c r="J1" s="64"/>
      <c r="K1" s="65"/>
      <c r="L1" s="63" t="s">
        <v>2</v>
      </c>
      <c r="M1" s="64"/>
      <c r="N1" s="64"/>
      <c r="O1" s="65"/>
      <c r="P1" s="63" t="s">
        <v>3</v>
      </c>
      <c r="Q1" s="64"/>
      <c r="R1" s="64"/>
      <c r="S1" s="64"/>
      <c r="T1" s="65"/>
      <c r="U1" s="66" t="s">
        <v>4</v>
      </c>
      <c r="V1" s="64"/>
      <c r="W1" s="64"/>
      <c r="X1" s="64"/>
      <c r="Y1" s="64"/>
      <c r="Z1" s="65"/>
    </row>
    <row r="2" spans="1:27" ht="54.6" customHeight="1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7" s="20" customFormat="1" ht="67.5" customHeight="1" x14ac:dyDescent="0.25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7" s="20" customFormat="1" ht="73.2" customHeight="1" x14ac:dyDescent="0.25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7" ht="14.25" customHeight="1" x14ac:dyDescent="0.3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7" ht="14.25" customHeight="1" x14ac:dyDescent="0.3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7" ht="137.4" customHeight="1" x14ac:dyDescent="0.3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7" ht="14.25" customHeight="1" x14ac:dyDescent="0.3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7" ht="14.25" customHeight="1" x14ac:dyDescent="0.3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7" ht="86.4" customHeight="1" x14ac:dyDescent="0.3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7" s="20" customFormat="1" ht="97.2" customHeight="1" x14ac:dyDescent="0.25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7" s="15" customFormat="1" ht="14.25" customHeight="1" x14ac:dyDescent="0.25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6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7" s="20" customFormat="1" ht="79.95" customHeight="1" x14ac:dyDescent="0.25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7" ht="126" customHeight="1" x14ac:dyDescent="0.3">
      <c r="A14" s="2">
        <v>212</v>
      </c>
      <c r="B14" s="51">
        <v>46002</v>
      </c>
      <c r="C14" s="3" t="s">
        <v>486</v>
      </c>
      <c r="D14" s="2" t="s">
        <v>487</v>
      </c>
      <c r="E14" s="3" t="s">
        <v>488</v>
      </c>
      <c r="F14" s="2"/>
      <c r="G14" s="3" t="s">
        <v>489</v>
      </c>
      <c r="H14" s="3" t="s">
        <v>490</v>
      </c>
      <c r="I14" s="2" t="s">
        <v>33</v>
      </c>
      <c r="J14" s="3" t="s">
        <v>491</v>
      </c>
      <c r="K14" s="3" t="s">
        <v>492</v>
      </c>
      <c r="L14" s="3" t="s">
        <v>493</v>
      </c>
      <c r="M14" s="2" t="s">
        <v>33</v>
      </c>
      <c r="N14" s="2" t="s">
        <v>494</v>
      </c>
      <c r="O14" s="2" t="s">
        <v>98</v>
      </c>
      <c r="P14" s="2" t="s">
        <v>33</v>
      </c>
      <c r="Q14" s="2" t="s">
        <v>37</v>
      </c>
      <c r="R14" s="2" t="s">
        <v>33</v>
      </c>
      <c r="S14" s="3" t="s">
        <v>495</v>
      </c>
      <c r="T14" s="3" t="s">
        <v>496</v>
      </c>
      <c r="U14" s="3" t="s">
        <v>497</v>
      </c>
      <c r="V14" s="2" t="s">
        <v>498</v>
      </c>
      <c r="W14" s="2" t="s">
        <v>442</v>
      </c>
      <c r="X14" s="2" t="s">
        <v>33</v>
      </c>
      <c r="Y14" s="2" t="s">
        <v>33</v>
      </c>
      <c r="Z14" s="3" t="s">
        <v>499</v>
      </c>
      <c r="AA14" s="53" t="s">
        <v>516</v>
      </c>
    </row>
    <row r="15" spans="1:27" ht="14.2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7" ht="14.2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B32" sqref="B32:B36"/>
    </sheetView>
  </sheetViews>
  <sheetFormatPr defaultColWidth="12.6640625" defaultRowHeight="15" customHeight="1" x14ac:dyDescent="0.3"/>
  <cols>
    <col min="1" max="1" width="12" customWidth="1"/>
    <col min="2" max="2" width="20.6640625" customWidth="1"/>
    <col min="3" max="3" width="18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 x14ac:dyDescent="0.3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 x14ac:dyDescent="0.3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3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 x14ac:dyDescent="0.3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 x14ac:dyDescent="0.3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 x14ac:dyDescent="0.3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 x14ac:dyDescent="0.3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 x14ac:dyDescent="0.3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 x14ac:dyDescent="0.3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 x14ac:dyDescent="0.3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 x14ac:dyDescent="0.3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 x14ac:dyDescent="0.3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 x14ac:dyDescent="0.3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 x14ac:dyDescent="0.3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 x14ac:dyDescent="0.3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 x14ac:dyDescent="0.3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 x14ac:dyDescent="0.3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 x14ac:dyDescent="0.3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 x14ac:dyDescent="0.3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 x14ac:dyDescent="0.3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 x14ac:dyDescent="0.3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 x14ac:dyDescent="0.3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 x14ac:dyDescent="0.3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 x14ac:dyDescent="0.3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 x14ac:dyDescent="0.3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 x14ac:dyDescent="0.3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 x14ac:dyDescent="0.3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 x14ac:dyDescent="0.3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 x14ac:dyDescent="0.3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 x14ac:dyDescent="0.3">
      <c r="A30" s="47">
        <v>210</v>
      </c>
      <c r="B30" s="49" t="s">
        <v>464</v>
      </c>
      <c r="C30" s="49" t="s">
        <v>465</v>
      </c>
      <c r="D30" s="49" t="s">
        <v>164</v>
      </c>
      <c r="E30" s="2"/>
      <c r="F30" s="2"/>
      <c r="G30" s="49" t="s">
        <v>170</v>
      </c>
      <c r="H30" s="2"/>
      <c r="I30" s="2"/>
      <c r="J30" s="2"/>
    </row>
    <row r="31" spans="1:10" s="20" customFormat="1" ht="100.2" customHeight="1" x14ac:dyDescent="0.25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s="52" customFormat="1" ht="51.6" customHeight="1" x14ac:dyDescent="0.25">
      <c r="A32" s="4">
        <v>212</v>
      </c>
      <c r="B32" s="4" t="s">
        <v>500</v>
      </c>
      <c r="C32" s="6" t="s">
        <v>501</v>
      </c>
      <c r="D32" s="4" t="s">
        <v>502</v>
      </c>
      <c r="E32" s="4" t="s">
        <v>484</v>
      </c>
      <c r="F32" s="4" t="s">
        <v>344</v>
      </c>
      <c r="G32" s="6" t="s">
        <v>503</v>
      </c>
      <c r="H32" s="6" t="s">
        <v>504</v>
      </c>
      <c r="I32" s="4" t="s">
        <v>505</v>
      </c>
      <c r="J32" s="4"/>
    </row>
    <row r="33" spans="1:10" s="52" customFormat="1" ht="67.8" customHeight="1" x14ac:dyDescent="0.25">
      <c r="A33" s="4">
        <v>212</v>
      </c>
      <c r="B33" s="4" t="s">
        <v>220</v>
      </c>
      <c r="C33" s="4" t="s">
        <v>506</v>
      </c>
      <c r="D33" s="6" t="s">
        <v>507</v>
      </c>
      <c r="E33" s="4" t="s">
        <v>153</v>
      </c>
      <c r="F33" s="4" t="s">
        <v>344</v>
      </c>
      <c r="G33" s="4" t="s">
        <v>508</v>
      </c>
      <c r="H33" s="6" t="s">
        <v>509</v>
      </c>
      <c r="I33" s="4" t="s">
        <v>33</v>
      </c>
      <c r="J33" s="4"/>
    </row>
    <row r="34" spans="1:10" s="52" customFormat="1" ht="60.6" customHeight="1" x14ac:dyDescent="0.25">
      <c r="A34" s="4">
        <v>212</v>
      </c>
      <c r="B34" s="4" t="s">
        <v>224</v>
      </c>
      <c r="C34" s="4" t="s">
        <v>506</v>
      </c>
      <c r="D34" s="4" t="s">
        <v>510</v>
      </c>
      <c r="E34" s="4" t="s">
        <v>153</v>
      </c>
      <c r="F34" s="4" t="s">
        <v>344</v>
      </c>
      <c r="G34" s="4" t="s">
        <v>508</v>
      </c>
      <c r="H34" s="6" t="s">
        <v>511</v>
      </c>
      <c r="I34" s="4" t="s">
        <v>33</v>
      </c>
      <c r="J34" s="4"/>
    </row>
    <row r="35" spans="1:10" s="52" customFormat="1" ht="62.4" customHeight="1" x14ac:dyDescent="0.25">
      <c r="A35" s="4">
        <v>212</v>
      </c>
      <c r="B35" s="4" t="s">
        <v>217</v>
      </c>
      <c r="C35" s="4" t="s">
        <v>506</v>
      </c>
      <c r="D35" s="6" t="s">
        <v>512</v>
      </c>
      <c r="E35" s="4" t="s">
        <v>480</v>
      </c>
      <c r="F35" s="4" t="s">
        <v>344</v>
      </c>
      <c r="G35" s="4" t="s">
        <v>33</v>
      </c>
      <c r="H35" s="6" t="s">
        <v>513</v>
      </c>
      <c r="I35" s="4" t="s">
        <v>514</v>
      </c>
      <c r="J35" s="4"/>
    </row>
    <row r="36" spans="1:10" s="52" customFormat="1" ht="43.2" customHeight="1" x14ac:dyDescent="0.25">
      <c r="A36" s="4">
        <v>212</v>
      </c>
      <c r="B36" s="4" t="s">
        <v>168</v>
      </c>
      <c r="C36" s="4"/>
      <c r="D36" s="4"/>
      <c r="E36" s="4"/>
      <c r="F36" s="4"/>
      <c r="G36" s="4"/>
      <c r="H36" s="6" t="s">
        <v>515</v>
      </c>
      <c r="I36" s="4"/>
      <c r="J36" s="4"/>
    </row>
    <row r="37" spans="1:10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6"/>
  <sheetViews>
    <sheetView tabSelected="1"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L41" sqref="L41"/>
    </sheetView>
  </sheetViews>
  <sheetFormatPr defaultColWidth="12.6640625" defaultRowHeight="15" customHeight="1" x14ac:dyDescent="0.3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style="68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 x14ac:dyDescent="0.3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 x14ac:dyDescent="0.25">
      <c r="A2" s="56" t="s">
        <v>29</v>
      </c>
      <c r="B2" s="58" t="s">
        <v>50</v>
      </c>
      <c r="C2" s="21">
        <v>20</v>
      </c>
      <c r="D2" s="22" t="s">
        <v>361</v>
      </c>
      <c r="E2" s="19">
        <v>65</v>
      </c>
      <c r="F2" s="19">
        <v>65</v>
      </c>
      <c r="G2" s="54" t="s">
        <v>33</v>
      </c>
      <c r="H2" s="54" t="s">
        <v>247</v>
      </c>
      <c r="I2" s="54" t="s">
        <v>33</v>
      </c>
      <c r="J2" s="54"/>
      <c r="K2" s="54" t="s">
        <v>248</v>
      </c>
      <c r="L2" s="54" t="s">
        <v>249</v>
      </c>
      <c r="M2" s="54" t="s">
        <v>33</v>
      </c>
      <c r="N2" s="54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 x14ac:dyDescent="0.25">
      <c r="A3" s="57"/>
      <c r="B3" s="59"/>
      <c r="C3" s="21">
        <v>10</v>
      </c>
      <c r="D3" s="22" t="s">
        <v>362</v>
      </c>
      <c r="E3" s="19">
        <v>55</v>
      </c>
      <c r="F3" s="19">
        <v>55</v>
      </c>
      <c r="G3" s="55"/>
      <c r="H3" s="55"/>
      <c r="I3" s="55"/>
      <c r="J3" s="55"/>
      <c r="K3" s="55"/>
      <c r="L3" s="55"/>
      <c r="M3" s="55"/>
      <c r="N3" s="55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 x14ac:dyDescent="0.25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 x14ac:dyDescent="0.25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 x14ac:dyDescent="0.25">
      <c r="A6" s="25">
        <v>202</v>
      </c>
      <c r="B6" s="25" t="s">
        <v>50</v>
      </c>
      <c r="C6" s="25">
        <f t="shared" ref="C6:C8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 x14ac:dyDescent="0.25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 x14ac:dyDescent="0.25">
      <c r="A8" s="25">
        <v>202</v>
      </c>
      <c r="B8" s="25" t="s">
        <v>50</v>
      </c>
      <c r="C8" s="25">
        <f t="shared" si="2"/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 x14ac:dyDescent="0.3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 x14ac:dyDescent="0.3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 x14ac:dyDescent="0.3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 x14ac:dyDescent="0.3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 x14ac:dyDescent="0.3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 x14ac:dyDescent="0.25">
      <c r="A14" s="37">
        <v>205</v>
      </c>
      <c r="B14" s="38" t="s">
        <v>262</v>
      </c>
      <c r="C14" s="37">
        <f t="shared" ref="C14:C15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 x14ac:dyDescent="0.25">
      <c r="A15" s="37">
        <v>205</v>
      </c>
      <c r="B15" s="37" t="s">
        <v>265</v>
      </c>
      <c r="C15" s="37">
        <f t="shared" si="3"/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 x14ac:dyDescent="0.25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 x14ac:dyDescent="0.25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 x14ac:dyDescent="0.25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 x14ac:dyDescent="0.25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 x14ac:dyDescent="0.25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3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 x14ac:dyDescent="0.3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 x14ac:dyDescent="0.3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 x14ac:dyDescent="0.3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 x14ac:dyDescent="0.3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 x14ac:dyDescent="0.3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 x14ac:dyDescent="0.3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 x14ac:dyDescent="0.25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 x14ac:dyDescent="0.25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 x14ac:dyDescent="0.3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 x14ac:dyDescent="0.3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 x14ac:dyDescent="0.3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 x14ac:dyDescent="0.25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s="52" customFormat="1" ht="14.25" customHeight="1" x14ac:dyDescent="0.25">
      <c r="A34" s="4">
        <v>212</v>
      </c>
      <c r="B34" s="4" t="s">
        <v>500</v>
      </c>
      <c r="C34" s="4">
        <v>400</v>
      </c>
      <c r="D34" s="4" t="s">
        <v>247</v>
      </c>
      <c r="E34" s="4">
        <v>1</v>
      </c>
      <c r="F34" s="4">
        <v>1</v>
      </c>
      <c r="G34" s="4"/>
      <c r="H34" s="4" t="s">
        <v>247</v>
      </c>
      <c r="I34" s="4" t="s">
        <v>33</v>
      </c>
      <c r="J34" s="4" t="s">
        <v>33</v>
      </c>
      <c r="K34" s="4" t="s">
        <v>519</v>
      </c>
      <c r="L34" s="70" t="s">
        <v>522</v>
      </c>
      <c r="M34" s="4" t="s">
        <v>523</v>
      </c>
      <c r="N34" s="4"/>
    </row>
    <row r="35" spans="1:14" s="52" customFormat="1" ht="19.2" customHeight="1" x14ac:dyDescent="0.25">
      <c r="A35" s="4">
        <v>212</v>
      </c>
      <c r="B35" s="4" t="s">
        <v>220</v>
      </c>
      <c r="C35" s="4">
        <v>10000</v>
      </c>
      <c r="D35" s="4" t="s">
        <v>247</v>
      </c>
      <c r="E35" s="4" t="s">
        <v>517</v>
      </c>
      <c r="F35" s="4" t="s">
        <v>33</v>
      </c>
      <c r="G35" s="4" t="s">
        <v>33</v>
      </c>
      <c r="H35" s="4" t="s">
        <v>247</v>
      </c>
      <c r="I35" s="4" t="s">
        <v>33</v>
      </c>
      <c r="J35" s="4" t="s">
        <v>33</v>
      </c>
      <c r="K35" s="67" t="s">
        <v>33</v>
      </c>
      <c r="L35" s="72"/>
      <c r="M35" s="69"/>
      <c r="N35" s="4"/>
    </row>
    <row r="36" spans="1:14" s="52" customFormat="1" ht="57.6" customHeight="1" x14ac:dyDescent="0.25">
      <c r="A36" s="4">
        <v>212</v>
      </c>
      <c r="B36" s="4" t="s">
        <v>220</v>
      </c>
      <c r="C36" s="4">
        <v>8000</v>
      </c>
      <c r="D36" s="4" t="s">
        <v>247</v>
      </c>
      <c r="E36" s="4">
        <v>1.8</v>
      </c>
      <c r="F36" s="4">
        <v>2</v>
      </c>
      <c r="G36" s="4" t="s">
        <v>33</v>
      </c>
      <c r="H36" s="4" t="s">
        <v>247</v>
      </c>
      <c r="I36" s="4" t="s">
        <v>33</v>
      </c>
      <c r="J36" s="4" t="s">
        <v>33</v>
      </c>
      <c r="K36" s="4" t="s">
        <v>520</v>
      </c>
      <c r="L36" s="71" t="s">
        <v>524</v>
      </c>
      <c r="M36" s="4"/>
      <c r="N36" s="4"/>
    </row>
    <row r="37" spans="1:14" s="52" customFormat="1" ht="14.25" customHeight="1" x14ac:dyDescent="0.25">
      <c r="A37" s="4">
        <v>212</v>
      </c>
      <c r="B37" s="4" t="s">
        <v>518</v>
      </c>
      <c r="C37" s="4">
        <v>100</v>
      </c>
      <c r="D37" s="4" t="s">
        <v>252</v>
      </c>
      <c r="E37" s="4">
        <v>60</v>
      </c>
      <c r="F37" s="4">
        <v>65</v>
      </c>
      <c r="G37" s="4" t="s">
        <v>33</v>
      </c>
      <c r="H37" s="4" t="s">
        <v>252</v>
      </c>
      <c r="I37" s="4" t="s">
        <v>33</v>
      </c>
      <c r="J37" s="4" t="s">
        <v>33</v>
      </c>
      <c r="K37" s="4" t="s">
        <v>519</v>
      </c>
      <c r="L37" s="4"/>
      <c r="M37" s="4"/>
      <c r="N37" s="4"/>
    </row>
    <row r="38" spans="1:14" s="52" customFormat="1" ht="14.25" customHeight="1" x14ac:dyDescent="0.25">
      <c r="A38" s="4">
        <v>212</v>
      </c>
      <c r="B38" s="4" t="s">
        <v>224</v>
      </c>
      <c r="C38" s="4">
        <v>20</v>
      </c>
      <c r="D38" s="4" t="s">
        <v>252</v>
      </c>
      <c r="E38" s="4" t="s">
        <v>517</v>
      </c>
      <c r="F38" s="4" t="s">
        <v>33</v>
      </c>
      <c r="G38" s="4" t="s">
        <v>33</v>
      </c>
      <c r="H38" s="4" t="s">
        <v>252</v>
      </c>
      <c r="I38" s="4" t="s">
        <v>33</v>
      </c>
      <c r="J38" s="4" t="s">
        <v>33</v>
      </c>
      <c r="K38" s="4" t="s">
        <v>33</v>
      </c>
      <c r="L38" s="4"/>
      <c r="M38" s="4"/>
      <c r="N38" s="4"/>
    </row>
    <row r="39" spans="1:14" s="52" customFormat="1" ht="40.799999999999997" customHeight="1" x14ac:dyDescent="0.25">
      <c r="A39" s="4">
        <v>212</v>
      </c>
      <c r="B39" s="4" t="s">
        <v>217</v>
      </c>
      <c r="C39" s="4">
        <v>300</v>
      </c>
      <c r="D39" s="4" t="s">
        <v>247</v>
      </c>
      <c r="E39" s="4">
        <v>120</v>
      </c>
      <c r="F39" s="4">
        <v>120</v>
      </c>
      <c r="G39" s="4" t="s">
        <v>33</v>
      </c>
      <c r="H39" s="4" t="s">
        <v>247</v>
      </c>
      <c r="I39" s="4" t="s">
        <v>33</v>
      </c>
      <c r="J39" s="4" t="s">
        <v>33</v>
      </c>
      <c r="K39" s="6" t="s">
        <v>521</v>
      </c>
      <c r="L39" s="4"/>
      <c r="M39" s="4"/>
      <c r="N39" s="4"/>
    </row>
    <row r="40" spans="1:14" s="52" customFormat="1" ht="14.25" customHeight="1" x14ac:dyDescent="0.25">
      <c r="A40" s="4">
        <v>212</v>
      </c>
      <c r="B40" s="4" t="s">
        <v>217</v>
      </c>
      <c r="C40" s="4">
        <v>30</v>
      </c>
      <c r="D40" s="4" t="s">
        <v>247</v>
      </c>
      <c r="E40" s="4" t="s">
        <v>517</v>
      </c>
      <c r="F40" s="4" t="s">
        <v>33</v>
      </c>
      <c r="G40" s="4" t="s">
        <v>33</v>
      </c>
      <c r="H40" s="4" t="s">
        <v>247</v>
      </c>
      <c r="I40" s="4" t="s">
        <v>33</v>
      </c>
      <c r="J40" s="4" t="s">
        <v>33</v>
      </c>
      <c r="K40" s="4" t="s">
        <v>33</v>
      </c>
      <c r="L40" s="4"/>
      <c r="M40" s="4"/>
      <c r="N40" s="4"/>
    </row>
    <row r="41" spans="1:14" s="52" customFormat="1" ht="14.25" customHeight="1" x14ac:dyDescent="0.25">
      <c r="A41" s="4">
        <v>212</v>
      </c>
      <c r="B41" s="4" t="s">
        <v>168</v>
      </c>
      <c r="C41" s="4">
        <v>100</v>
      </c>
      <c r="D41" s="4" t="s">
        <v>252</v>
      </c>
      <c r="E41" s="4">
        <v>40</v>
      </c>
      <c r="F41" s="4">
        <v>40</v>
      </c>
      <c r="G41" s="4" t="s">
        <v>33</v>
      </c>
      <c r="H41" s="4" t="s">
        <v>252</v>
      </c>
      <c r="I41" s="4" t="s">
        <v>33</v>
      </c>
      <c r="J41" s="4" t="s">
        <v>33</v>
      </c>
      <c r="K41" s="4" t="s">
        <v>33</v>
      </c>
      <c r="L41" s="4"/>
      <c r="M41" s="4"/>
      <c r="N41" s="4"/>
    </row>
    <row r="42" spans="1:14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spans="1:14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spans="1:14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spans="1:14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8"/>
  <sheetViews>
    <sheetView zoomScaleNormal="100" workbookViewId="0">
      <pane xSplit="1" ySplit="1" topLeftCell="B46" activePane="bottomRight" state="frozen"/>
      <selection pane="topRight" activeCell="B1" sqref="B1"/>
      <selection pane="bottomLeft" activeCell="A2" sqref="A2"/>
      <selection pane="bottomRight" activeCell="C54" sqref="C54"/>
    </sheetView>
  </sheetViews>
  <sheetFormatPr defaultColWidth="12.6640625" defaultRowHeight="15" customHeight="1" x14ac:dyDescent="0.3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2.88671875" customWidth="1"/>
    <col min="7" max="7" width="13.33203125" customWidth="1"/>
    <col min="8" max="8" width="15.33203125" customWidth="1"/>
    <col min="9" max="9" width="14.5546875" customWidth="1"/>
    <col min="10" max="10" width="12.88671875" customWidth="1"/>
    <col min="11" max="11" width="12.3320312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3.33203125" customWidth="1"/>
    <col min="18" max="26" width="8.6640625" customWidth="1"/>
  </cols>
  <sheetData>
    <row r="1" spans="1:26" ht="71.400000000000006" customHeight="1" x14ac:dyDescent="0.3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5" customHeight="1" x14ac:dyDescent="0.25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 x14ac:dyDescent="0.25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5" customHeight="1" x14ac:dyDescent="0.25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 x14ac:dyDescent="0.25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5" customHeight="1" x14ac:dyDescent="0.25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5" customHeight="1" x14ac:dyDescent="0.25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 x14ac:dyDescent="0.25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 x14ac:dyDescent="0.25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 x14ac:dyDescent="0.3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 x14ac:dyDescent="0.3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 x14ac:dyDescent="0.3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 x14ac:dyDescent="0.3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 x14ac:dyDescent="0.3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 x14ac:dyDescent="0.3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 x14ac:dyDescent="0.3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 x14ac:dyDescent="0.3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 x14ac:dyDescent="0.3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5" customHeight="1" x14ac:dyDescent="0.3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 x14ac:dyDescent="0.3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 x14ac:dyDescent="0.3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 x14ac:dyDescent="0.3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 x14ac:dyDescent="0.3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 x14ac:dyDescent="0.3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 x14ac:dyDescent="0.3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 x14ac:dyDescent="0.3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 x14ac:dyDescent="0.3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 x14ac:dyDescent="0.3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 x14ac:dyDescent="0.3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 x14ac:dyDescent="0.3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5" customHeight="1" x14ac:dyDescent="0.3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 x14ac:dyDescent="0.3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 x14ac:dyDescent="0.3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 x14ac:dyDescent="0.25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 x14ac:dyDescent="0.25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 x14ac:dyDescent="0.25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 x14ac:dyDescent="0.25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 x14ac:dyDescent="0.25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 x14ac:dyDescent="0.25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 x14ac:dyDescent="0.25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48" customFormat="1" ht="14.25" customHeight="1" x14ac:dyDescent="0.3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47">
        <v>1300</v>
      </c>
      <c r="J41" s="34" t="s">
        <v>341</v>
      </c>
      <c r="K41" s="47">
        <v>44</v>
      </c>
      <c r="L41" s="47">
        <v>20</v>
      </c>
      <c r="M41" s="34" t="s">
        <v>341</v>
      </c>
      <c r="N41" s="47"/>
      <c r="O41" s="47"/>
      <c r="P41" s="47"/>
      <c r="Q41" s="47"/>
    </row>
    <row r="42" spans="1:18" ht="14.25" customHeight="1" x14ac:dyDescent="0.3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 x14ac:dyDescent="0.3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2">
        <v>200</v>
      </c>
      <c r="J43" s="49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 x14ac:dyDescent="0.3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2">
        <v>15</v>
      </c>
      <c r="J44" s="49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 x14ac:dyDescent="0.3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14.25" customHeight="1" x14ac:dyDescent="0.3">
      <c r="A46" s="47">
        <v>210</v>
      </c>
      <c r="B46" s="49" t="s">
        <v>168</v>
      </c>
      <c r="C46" s="49" t="s">
        <v>476</v>
      </c>
      <c r="D46" s="49" t="s">
        <v>477</v>
      </c>
      <c r="E46" s="2"/>
      <c r="F46" s="49" t="s">
        <v>485</v>
      </c>
      <c r="G46" s="49" t="s">
        <v>479</v>
      </c>
      <c r="H46" s="49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2" customHeight="1" x14ac:dyDescent="0.25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2" customHeight="1" x14ac:dyDescent="0.25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ht="14.25" customHeight="1" x14ac:dyDescent="0.3">
      <c r="A49" s="2">
        <v>212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2026-08-07T19:09:46Z</dcterms:modified>
</cp:coreProperties>
</file>